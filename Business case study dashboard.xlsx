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https://d.docs.live.net/c4e084bf5d527a29/Documents/"/>
    </mc:Choice>
  </mc:AlternateContent>
  <xr:revisionPtr revIDLastSave="256" documentId="8_{7F6EE036-1900-4BE1-972B-5BCF917C9100}" xr6:coauthVersionLast="47" xr6:coauthVersionMax="47" xr10:uidLastSave="{51DEF3A4-572C-46C1-B8DD-E244C2FAB79D}"/>
  <bookViews>
    <workbookView minimized="1" xWindow="1104" yWindow="2964" windowWidth="11100" windowHeight="9960" activeTab="2" xr2:uid="{D52E7815-4989-404D-804C-AA549C58FFD2}"/>
  </bookViews>
  <sheets>
    <sheet name="dataset" sheetId="1" r:id="rId1"/>
    <sheet name="tables" sheetId="2" r:id="rId2"/>
    <sheet name="dashboard" sheetId="3" r:id="rId3"/>
  </sheets>
  <definedNames>
    <definedName name="NativeTimeline_Days_Since_Last_Login">#N/A</definedName>
    <definedName name="Slicer_Age">#N/A</definedName>
    <definedName name="Slicer_Gender">#N/A</definedName>
    <definedName name="Slicer_Status">#N/A</definedName>
    <definedName name="Slicer_SubscriptionType">#N/A</definedName>
  </definedNames>
  <calcPr calcId="191029"/>
  <pivotCaches>
    <pivotCache cacheId="15"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6" i="2" l="1"/>
  <c r="A15" i="2"/>
  <c r="A17" i="2"/>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A18" i="2" l="1"/>
</calcChain>
</file>

<file path=xl/sharedStrings.xml><?xml version="1.0" encoding="utf-8"?>
<sst xmlns="http://schemas.openxmlformats.org/spreadsheetml/2006/main" count="3058" uniqueCount="1056">
  <si>
    <t>CustomerID</t>
  </si>
  <si>
    <t>Name</t>
  </si>
  <si>
    <t>Age</t>
  </si>
  <si>
    <t>Gender</t>
  </si>
  <si>
    <t>SubscriptionType</t>
  </si>
  <si>
    <t>SubscriptionDate</t>
  </si>
  <si>
    <t>LastLoginDate</t>
  </si>
  <si>
    <t>TotalSessions</t>
  </si>
  <si>
    <t>FeedbackScore</t>
  </si>
  <si>
    <t>IsChurned</t>
  </si>
  <si>
    <t>Customer1</t>
  </si>
  <si>
    <t>Female</t>
  </si>
  <si>
    <t>Standard</t>
  </si>
  <si>
    <t>Customer2</t>
  </si>
  <si>
    <t>Male</t>
  </si>
  <si>
    <t>Basic</t>
  </si>
  <si>
    <t>Customer3</t>
  </si>
  <si>
    <t>Customer4</t>
  </si>
  <si>
    <t>Premium</t>
  </si>
  <si>
    <t>Customer5</t>
  </si>
  <si>
    <t>Customer6</t>
  </si>
  <si>
    <t>Customer7</t>
  </si>
  <si>
    <t>Customer8</t>
  </si>
  <si>
    <t>Customer9</t>
  </si>
  <si>
    <t>Customer10</t>
  </si>
  <si>
    <t>Customer11</t>
  </si>
  <si>
    <t>Customer12</t>
  </si>
  <si>
    <t>Customer13</t>
  </si>
  <si>
    <t>Customer14</t>
  </si>
  <si>
    <t>Customer15</t>
  </si>
  <si>
    <t>Customer16</t>
  </si>
  <si>
    <t>Customer17</t>
  </si>
  <si>
    <t>Customer18</t>
  </si>
  <si>
    <t>Customer19</t>
  </si>
  <si>
    <t>Customer20</t>
  </si>
  <si>
    <t>Customer21</t>
  </si>
  <si>
    <t>Customer22</t>
  </si>
  <si>
    <t>Customer23</t>
  </si>
  <si>
    <t>Customer24</t>
  </si>
  <si>
    <t>Customer25</t>
  </si>
  <si>
    <t>Customer26</t>
  </si>
  <si>
    <t>Customer27</t>
  </si>
  <si>
    <t>Customer28</t>
  </si>
  <si>
    <t>Customer29</t>
  </si>
  <si>
    <t>Customer30</t>
  </si>
  <si>
    <t>Customer31</t>
  </si>
  <si>
    <t>Customer32</t>
  </si>
  <si>
    <t>Customer33</t>
  </si>
  <si>
    <t>Customer34</t>
  </si>
  <si>
    <t>Customer35</t>
  </si>
  <si>
    <t>Customer36</t>
  </si>
  <si>
    <t>Customer37</t>
  </si>
  <si>
    <t>Customer38</t>
  </si>
  <si>
    <t>Customer39</t>
  </si>
  <si>
    <t>Customer40</t>
  </si>
  <si>
    <t>Customer41</t>
  </si>
  <si>
    <t>Customer42</t>
  </si>
  <si>
    <t>Customer43</t>
  </si>
  <si>
    <t>Customer44</t>
  </si>
  <si>
    <t>Customer45</t>
  </si>
  <si>
    <t>Customer46</t>
  </si>
  <si>
    <t>Customer47</t>
  </si>
  <si>
    <t>Customer48</t>
  </si>
  <si>
    <t>Customer49</t>
  </si>
  <si>
    <t>Customer50</t>
  </si>
  <si>
    <t>Customer51</t>
  </si>
  <si>
    <t>Customer52</t>
  </si>
  <si>
    <t>Customer53</t>
  </si>
  <si>
    <t>Customer54</t>
  </si>
  <si>
    <t>Customer55</t>
  </si>
  <si>
    <t>Customer56</t>
  </si>
  <si>
    <t>Customer57</t>
  </si>
  <si>
    <t>Customer58</t>
  </si>
  <si>
    <t>Customer59</t>
  </si>
  <si>
    <t>Customer60</t>
  </si>
  <si>
    <t>Customer61</t>
  </si>
  <si>
    <t>Customer62</t>
  </si>
  <si>
    <t>Customer63</t>
  </si>
  <si>
    <t>Customer64</t>
  </si>
  <si>
    <t>Customer65</t>
  </si>
  <si>
    <t>Customer66</t>
  </si>
  <si>
    <t>Customer67</t>
  </si>
  <si>
    <t>Customer68</t>
  </si>
  <si>
    <t>Customer69</t>
  </si>
  <si>
    <t>Customer70</t>
  </si>
  <si>
    <t>Customer71</t>
  </si>
  <si>
    <t>Customer72</t>
  </si>
  <si>
    <t>Customer73</t>
  </si>
  <si>
    <t>Customer74</t>
  </si>
  <si>
    <t>Customer75</t>
  </si>
  <si>
    <t>Customer76</t>
  </si>
  <si>
    <t>Customer77</t>
  </si>
  <si>
    <t>Customer78</t>
  </si>
  <si>
    <t>Customer79</t>
  </si>
  <si>
    <t>Customer80</t>
  </si>
  <si>
    <t>Customer81</t>
  </si>
  <si>
    <t>Customer82</t>
  </si>
  <si>
    <t>Customer83</t>
  </si>
  <si>
    <t>Customer84</t>
  </si>
  <si>
    <t>Customer85</t>
  </si>
  <si>
    <t>Customer86</t>
  </si>
  <si>
    <t>Customer87</t>
  </si>
  <si>
    <t>Customer88</t>
  </si>
  <si>
    <t>Customer89</t>
  </si>
  <si>
    <t>Customer90</t>
  </si>
  <si>
    <t>Customer91</t>
  </si>
  <si>
    <t>Customer92</t>
  </si>
  <si>
    <t>Customer93</t>
  </si>
  <si>
    <t>Customer94</t>
  </si>
  <si>
    <t>Customer95</t>
  </si>
  <si>
    <t>Customer96</t>
  </si>
  <si>
    <t>Customer97</t>
  </si>
  <si>
    <t>Customer98</t>
  </si>
  <si>
    <t>Customer99</t>
  </si>
  <si>
    <t>Customer100</t>
  </si>
  <si>
    <t>Customer101</t>
  </si>
  <si>
    <t>Customer102</t>
  </si>
  <si>
    <t>Customer103</t>
  </si>
  <si>
    <t>Customer104</t>
  </si>
  <si>
    <t>Customer105</t>
  </si>
  <si>
    <t>Customer106</t>
  </si>
  <si>
    <t>Customer107</t>
  </si>
  <si>
    <t>Customer108</t>
  </si>
  <si>
    <t>Customer109</t>
  </si>
  <si>
    <t>Customer110</t>
  </si>
  <si>
    <t>Customer111</t>
  </si>
  <si>
    <t>Customer112</t>
  </si>
  <si>
    <t>Customer113</t>
  </si>
  <si>
    <t>Customer114</t>
  </si>
  <si>
    <t>Customer115</t>
  </si>
  <si>
    <t>Customer116</t>
  </si>
  <si>
    <t>Customer117</t>
  </si>
  <si>
    <t>Customer118</t>
  </si>
  <si>
    <t>Customer119</t>
  </si>
  <si>
    <t>Customer120</t>
  </si>
  <si>
    <t>Customer121</t>
  </si>
  <si>
    <t>Customer122</t>
  </si>
  <si>
    <t>Customer123</t>
  </si>
  <si>
    <t>Customer124</t>
  </si>
  <si>
    <t>Customer125</t>
  </si>
  <si>
    <t>Customer126</t>
  </si>
  <si>
    <t>Customer127</t>
  </si>
  <si>
    <t>Customer128</t>
  </si>
  <si>
    <t>Customer129</t>
  </si>
  <si>
    <t>Customer130</t>
  </si>
  <si>
    <t>Customer131</t>
  </si>
  <si>
    <t>Customer132</t>
  </si>
  <si>
    <t>Customer133</t>
  </si>
  <si>
    <t>Customer134</t>
  </si>
  <si>
    <t>Customer135</t>
  </si>
  <si>
    <t>Customer136</t>
  </si>
  <si>
    <t>Customer137</t>
  </si>
  <si>
    <t>Customer138</t>
  </si>
  <si>
    <t>Customer139</t>
  </si>
  <si>
    <t>Customer140</t>
  </si>
  <si>
    <t>Customer141</t>
  </si>
  <si>
    <t>Customer142</t>
  </si>
  <si>
    <t>Customer143</t>
  </si>
  <si>
    <t>Customer144</t>
  </si>
  <si>
    <t>Customer145</t>
  </si>
  <si>
    <t>Customer146</t>
  </si>
  <si>
    <t>Customer147</t>
  </si>
  <si>
    <t>Customer148</t>
  </si>
  <si>
    <t>Customer149</t>
  </si>
  <si>
    <t>Customer150</t>
  </si>
  <si>
    <t>Customer151</t>
  </si>
  <si>
    <t>Customer152</t>
  </si>
  <si>
    <t>Customer153</t>
  </si>
  <si>
    <t>Customer154</t>
  </si>
  <si>
    <t>Customer155</t>
  </si>
  <si>
    <t>Customer156</t>
  </si>
  <si>
    <t>Customer157</t>
  </si>
  <si>
    <t>Customer158</t>
  </si>
  <si>
    <t>Customer159</t>
  </si>
  <si>
    <t>Customer160</t>
  </si>
  <si>
    <t>Customer161</t>
  </si>
  <si>
    <t>Customer162</t>
  </si>
  <si>
    <t>Customer163</t>
  </si>
  <si>
    <t>Customer164</t>
  </si>
  <si>
    <t>Customer165</t>
  </si>
  <si>
    <t>Customer166</t>
  </si>
  <si>
    <t>Customer167</t>
  </si>
  <si>
    <t>Customer168</t>
  </si>
  <si>
    <t>Customer169</t>
  </si>
  <si>
    <t>Customer170</t>
  </si>
  <si>
    <t>Customer171</t>
  </si>
  <si>
    <t>Customer172</t>
  </si>
  <si>
    <t>Customer173</t>
  </si>
  <si>
    <t>Customer174</t>
  </si>
  <si>
    <t>Customer175</t>
  </si>
  <si>
    <t>Customer176</t>
  </si>
  <si>
    <t>Customer177</t>
  </si>
  <si>
    <t>Customer178</t>
  </si>
  <si>
    <t>Customer179</t>
  </si>
  <si>
    <t>Customer180</t>
  </si>
  <si>
    <t>Customer181</t>
  </si>
  <si>
    <t>Customer182</t>
  </si>
  <si>
    <t>Customer183</t>
  </si>
  <si>
    <t>Customer184</t>
  </si>
  <si>
    <t>Customer185</t>
  </si>
  <si>
    <t>Customer186</t>
  </si>
  <si>
    <t>Customer187</t>
  </si>
  <si>
    <t>Customer188</t>
  </si>
  <si>
    <t>Customer189</t>
  </si>
  <si>
    <t>Customer190</t>
  </si>
  <si>
    <t>Customer191</t>
  </si>
  <si>
    <t>Customer192</t>
  </si>
  <si>
    <t>Customer193</t>
  </si>
  <si>
    <t>Customer194</t>
  </si>
  <si>
    <t>Customer195</t>
  </si>
  <si>
    <t>Customer196</t>
  </si>
  <si>
    <t>Customer197</t>
  </si>
  <si>
    <t>Customer198</t>
  </si>
  <si>
    <t>Customer199</t>
  </si>
  <si>
    <t>Customer200</t>
  </si>
  <si>
    <t>Customer201</t>
  </si>
  <si>
    <t>Customer202</t>
  </si>
  <si>
    <t>Customer203</t>
  </si>
  <si>
    <t>Customer204</t>
  </si>
  <si>
    <t>Customer205</t>
  </si>
  <si>
    <t>Customer206</t>
  </si>
  <si>
    <t>Customer207</t>
  </si>
  <si>
    <t>Customer208</t>
  </si>
  <si>
    <t>Customer209</t>
  </si>
  <si>
    <t>Customer210</t>
  </si>
  <si>
    <t>Customer211</t>
  </si>
  <si>
    <t>Customer212</t>
  </si>
  <si>
    <t>Customer213</t>
  </si>
  <si>
    <t>Customer214</t>
  </si>
  <si>
    <t>Customer215</t>
  </si>
  <si>
    <t>Customer216</t>
  </si>
  <si>
    <t>Customer217</t>
  </si>
  <si>
    <t>Customer218</t>
  </si>
  <si>
    <t>Customer219</t>
  </si>
  <si>
    <t>Customer220</t>
  </si>
  <si>
    <t>Customer221</t>
  </si>
  <si>
    <t>Customer222</t>
  </si>
  <si>
    <t>Customer223</t>
  </si>
  <si>
    <t>Customer224</t>
  </si>
  <si>
    <t>Customer225</t>
  </si>
  <si>
    <t>Customer226</t>
  </si>
  <si>
    <t>Customer227</t>
  </si>
  <si>
    <t>Customer228</t>
  </si>
  <si>
    <t>Customer229</t>
  </si>
  <si>
    <t>Customer230</t>
  </si>
  <si>
    <t>Customer231</t>
  </si>
  <si>
    <t>Customer232</t>
  </si>
  <si>
    <t>Customer233</t>
  </si>
  <si>
    <t>Customer234</t>
  </si>
  <si>
    <t>Customer235</t>
  </si>
  <si>
    <t>Customer236</t>
  </si>
  <si>
    <t>Customer237</t>
  </si>
  <si>
    <t>Customer238</t>
  </si>
  <si>
    <t>Customer239</t>
  </si>
  <si>
    <t>Customer240</t>
  </si>
  <si>
    <t>Customer241</t>
  </si>
  <si>
    <t>Customer242</t>
  </si>
  <si>
    <t>Customer243</t>
  </si>
  <si>
    <t>Customer244</t>
  </si>
  <si>
    <t>Customer245</t>
  </si>
  <si>
    <t>Customer246</t>
  </si>
  <si>
    <t>Customer247</t>
  </si>
  <si>
    <t>Customer248</t>
  </si>
  <si>
    <t>Customer249</t>
  </si>
  <si>
    <t>Customer250</t>
  </si>
  <si>
    <t>Customer251</t>
  </si>
  <si>
    <t>Customer252</t>
  </si>
  <si>
    <t>Customer253</t>
  </si>
  <si>
    <t>Customer254</t>
  </si>
  <si>
    <t>Customer255</t>
  </si>
  <si>
    <t>Customer256</t>
  </si>
  <si>
    <t>Customer257</t>
  </si>
  <si>
    <t>Customer258</t>
  </si>
  <si>
    <t>Customer259</t>
  </si>
  <si>
    <t>Customer260</t>
  </si>
  <si>
    <t>Customer261</t>
  </si>
  <si>
    <t>Customer262</t>
  </si>
  <si>
    <t>Customer263</t>
  </si>
  <si>
    <t>Customer264</t>
  </si>
  <si>
    <t>Customer265</t>
  </si>
  <si>
    <t>Customer266</t>
  </si>
  <si>
    <t>Customer267</t>
  </si>
  <si>
    <t>Customer268</t>
  </si>
  <si>
    <t>Customer269</t>
  </si>
  <si>
    <t>Customer270</t>
  </si>
  <si>
    <t>Customer271</t>
  </si>
  <si>
    <t>Customer272</t>
  </si>
  <si>
    <t>Customer273</t>
  </si>
  <si>
    <t>Customer274</t>
  </si>
  <si>
    <t>Customer275</t>
  </si>
  <si>
    <t>Customer276</t>
  </si>
  <si>
    <t>Customer277</t>
  </si>
  <si>
    <t>Customer278</t>
  </si>
  <si>
    <t>Customer279</t>
  </si>
  <si>
    <t>Customer280</t>
  </si>
  <si>
    <t>Customer281</t>
  </si>
  <si>
    <t>Customer282</t>
  </si>
  <si>
    <t>Customer283</t>
  </si>
  <si>
    <t>Customer284</t>
  </si>
  <si>
    <t>Customer285</t>
  </si>
  <si>
    <t>Customer286</t>
  </si>
  <si>
    <t>Customer287</t>
  </si>
  <si>
    <t>Customer288</t>
  </si>
  <si>
    <t>Customer289</t>
  </si>
  <si>
    <t>Customer290</t>
  </si>
  <si>
    <t>Customer291</t>
  </si>
  <si>
    <t>Customer292</t>
  </si>
  <si>
    <t>Customer293</t>
  </si>
  <si>
    <t>Customer294</t>
  </si>
  <si>
    <t>Customer295</t>
  </si>
  <si>
    <t>Customer296</t>
  </si>
  <si>
    <t>Customer297</t>
  </si>
  <si>
    <t>Customer298</t>
  </si>
  <si>
    <t>Customer299</t>
  </si>
  <si>
    <t>Customer300</t>
  </si>
  <si>
    <t>Customer301</t>
  </si>
  <si>
    <t>Customer302</t>
  </si>
  <si>
    <t>Customer303</t>
  </si>
  <si>
    <t>Customer304</t>
  </si>
  <si>
    <t>Customer305</t>
  </si>
  <si>
    <t>Customer306</t>
  </si>
  <si>
    <t>Customer307</t>
  </si>
  <si>
    <t>Customer308</t>
  </si>
  <si>
    <t>Customer309</t>
  </si>
  <si>
    <t>Customer310</t>
  </si>
  <si>
    <t>Customer311</t>
  </si>
  <si>
    <t>Customer312</t>
  </si>
  <si>
    <t>Customer313</t>
  </si>
  <si>
    <t>Customer314</t>
  </si>
  <si>
    <t>Customer315</t>
  </si>
  <si>
    <t>Customer316</t>
  </si>
  <si>
    <t>Customer317</t>
  </si>
  <si>
    <t>Customer318</t>
  </si>
  <si>
    <t>Customer319</t>
  </si>
  <si>
    <t>Customer320</t>
  </si>
  <si>
    <t>Customer321</t>
  </si>
  <si>
    <t>Customer322</t>
  </si>
  <si>
    <t>Customer323</t>
  </si>
  <si>
    <t>Customer324</t>
  </si>
  <si>
    <t>Customer325</t>
  </si>
  <si>
    <t>Customer326</t>
  </si>
  <si>
    <t>Customer327</t>
  </si>
  <si>
    <t>Customer328</t>
  </si>
  <si>
    <t>Customer329</t>
  </si>
  <si>
    <t>Customer330</t>
  </si>
  <si>
    <t>Customer331</t>
  </si>
  <si>
    <t>Customer332</t>
  </si>
  <si>
    <t>Customer333</t>
  </si>
  <si>
    <t>Customer334</t>
  </si>
  <si>
    <t>Customer335</t>
  </si>
  <si>
    <t>Customer336</t>
  </si>
  <si>
    <t>Customer337</t>
  </si>
  <si>
    <t>Customer338</t>
  </si>
  <si>
    <t>Customer339</t>
  </si>
  <si>
    <t>Customer340</t>
  </si>
  <si>
    <t>Customer341</t>
  </si>
  <si>
    <t>Customer342</t>
  </si>
  <si>
    <t>Customer343</t>
  </si>
  <si>
    <t>Customer344</t>
  </si>
  <si>
    <t>Customer345</t>
  </si>
  <si>
    <t>Customer346</t>
  </si>
  <si>
    <t>Customer347</t>
  </si>
  <si>
    <t>Customer348</t>
  </si>
  <si>
    <t>Customer349</t>
  </si>
  <si>
    <t>Customer350</t>
  </si>
  <si>
    <t>Customer351</t>
  </si>
  <si>
    <t>Customer352</t>
  </si>
  <si>
    <t>Customer353</t>
  </si>
  <si>
    <t>Customer354</t>
  </si>
  <si>
    <t>Customer355</t>
  </si>
  <si>
    <t>Customer356</t>
  </si>
  <si>
    <t>Customer357</t>
  </si>
  <si>
    <t>Customer358</t>
  </si>
  <si>
    <t>Customer359</t>
  </si>
  <si>
    <t>Customer360</t>
  </si>
  <si>
    <t>Customer361</t>
  </si>
  <si>
    <t>Customer362</t>
  </si>
  <si>
    <t>Customer363</t>
  </si>
  <si>
    <t>Customer364</t>
  </si>
  <si>
    <t>Customer365</t>
  </si>
  <si>
    <t>Customer366</t>
  </si>
  <si>
    <t>Customer367</t>
  </si>
  <si>
    <t>Customer368</t>
  </si>
  <si>
    <t>Customer369</t>
  </si>
  <si>
    <t>Customer370</t>
  </si>
  <si>
    <t>Customer371</t>
  </si>
  <si>
    <t>Customer372</t>
  </si>
  <si>
    <t>Customer373</t>
  </si>
  <si>
    <t>Customer374</t>
  </si>
  <si>
    <t>Customer375</t>
  </si>
  <si>
    <t>Customer376</t>
  </si>
  <si>
    <t>Customer377</t>
  </si>
  <si>
    <t>Customer378</t>
  </si>
  <si>
    <t>Customer379</t>
  </si>
  <si>
    <t>Customer380</t>
  </si>
  <si>
    <t>Customer381</t>
  </si>
  <si>
    <t>Customer382</t>
  </si>
  <si>
    <t>Customer383</t>
  </si>
  <si>
    <t>Customer384</t>
  </si>
  <si>
    <t>Customer385</t>
  </si>
  <si>
    <t>Customer386</t>
  </si>
  <si>
    <t>Customer387</t>
  </si>
  <si>
    <t>Customer388</t>
  </si>
  <si>
    <t>Customer389</t>
  </si>
  <si>
    <t>Customer390</t>
  </si>
  <si>
    <t>Customer391</t>
  </si>
  <si>
    <t>Customer392</t>
  </si>
  <si>
    <t>Customer393</t>
  </si>
  <si>
    <t>Customer394</t>
  </si>
  <si>
    <t>Customer395</t>
  </si>
  <si>
    <t>Customer396</t>
  </si>
  <si>
    <t>Customer397</t>
  </si>
  <si>
    <t>Customer398</t>
  </si>
  <si>
    <t>Customer399</t>
  </si>
  <si>
    <t>Customer400</t>
  </si>
  <si>
    <t>Customer401</t>
  </si>
  <si>
    <t>Customer402</t>
  </si>
  <si>
    <t>Customer403</t>
  </si>
  <si>
    <t>Customer404</t>
  </si>
  <si>
    <t>Customer405</t>
  </si>
  <si>
    <t>Customer406</t>
  </si>
  <si>
    <t>Customer407</t>
  </si>
  <si>
    <t>Customer408</t>
  </si>
  <si>
    <t>Customer409</t>
  </si>
  <si>
    <t>Customer410</t>
  </si>
  <si>
    <t>Customer411</t>
  </si>
  <si>
    <t>Customer412</t>
  </si>
  <si>
    <t>Customer413</t>
  </si>
  <si>
    <t>Customer414</t>
  </si>
  <si>
    <t>Customer415</t>
  </si>
  <si>
    <t>Customer416</t>
  </si>
  <si>
    <t>Customer417</t>
  </si>
  <si>
    <t>Customer418</t>
  </si>
  <si>
    <t>Customer419</t>
  </si>
  <si>
    <t>Customer420</t>
  </si>
  <si>
    <t>Customer421</t>
  </si>
  <si>
    <t>Customer422</t>
  </si>
  <si>
    <t>Customer423</t>
  </si>
  <si>
    <t>Customer424</t>
  </si>
  <si>
    <t>Customer425</t>
  </si>
  <si>
    <t>Customer426</t>
  </si>
  <si>
    <t>Customer427</t>
  </si>
  <si>
    <t>Customer428</t>
  </si>
  <si>
    <t>Customer429</t>
  </si>
  <si>
    <t>Customer430</t>
  </si>
  <si>
    <t>Customer431</t>
  </si>
  <si>
    <t>Customer432</t>
  </si>
  <si>
    <t>Customer433</t>
  </si>
  <si>
    <t>Customer434</t>
  </si>
  <si>
    <t>Customer435</t>
  </si>
  <si>
    <t>Customer436</t>
  </si>
  <si>
    <t>Customer437</t>
  </si>
  <si>
    <t>Customer438</t>
  </si>
  <si>
    <t>Customer439</t>
  </si>
  <si>
    <t>Customer440</t>
  </si>
  <si>
    <t>Customer441</t>
  </si>
  <si>
    <t>Customer442</t>
  </si>
  <si>
    <t>Customer443</t>
  </si>
  <si>
    <t>Customer444</t>
  </si>
  <si>
    <t>Customer445</t>
  </si>
  <si>
    <t>Customer446</t>
  </si>
  <si>
    <t>Customer447</t>
  </si>
  <si>
    <t>Customer448</t>
  </si>
  <si>
    <t>Customer449</t>
  </si>
  <si>
    <t>Customer450</t>
  </si>
  <si>
    <t>Customer451</t>
  </si>
  <si>
    <t>Customer452</t>
  </si>
  <si>
    <t>Customer453</t>
  </si>
  <si>
    <t>Customer454</t>
  </si>
  <si>
    <t>Customer455</t>
  </si>
  <si>
    <t>Customer456</t>
  </si>
  <si>
    <t>Customer457</t>
  </si>
  <si>
    <t>Customer458</t>
  </si>
  <si>
    <t>Customer459</t>
  </si>
  <si>
    <t>Customer460</t>
  </si>
  <si>
    <t>Customer461</t>
  </si>
  <si>
    <t>Customer462</t>
  </si>
  <si>
    <t>Customer463</t>
  </si>
  <si>
    <t>Customer464</t>
  </si>
  <si>
    <t>Customer465</t>
  </si>
  <si>
    <t>Customer466</t>
  </si>
  <si>
    <t>Customer467</t>
  </si>
  <si>
    <t>Customer468</t>
  </si>
  <si>
    <t>Customer469</t>
  </si>
  <si>
    <t>Customer470</t>
  </si>
  <si>
    <t>Customer471</t>
  </si>
  <si>
    <t>Customer472</t>
  </si>
  <si>
    <t>Customer473</t>
  </si>
  <si>
    <t>Customer474</t>
  </si>
  <si>
    <t>Customer475</t>
  </si>
  <si>
    <t>Customer476</t>
  </si>
  <si>
    <t>Customer477</t>
  </si>
  <si>
    <t>Customer478</t>
  </si>
  <si>
    <t>Customer479</t>
  </si>
  <si>
    <t>Customer480</t>
  </si>
  <si>
    <t>Customer481</t>
  </si>
  <si>
    <t>Customer482</t>
  </si>
  <si>
    <t>Customer483</t>
  </si>
  <si>
    <t>Customer484</t>
  </si>
  <si>
    <t>Customer485</t>
  </si>
  <si>
    <t>Customer486</t>
  </si>
  <si>
    <t>Customer487</t>
  </si>
  <si>
    <t>Customer488</t>
  </si>
  <si>
    <t>Customer489</t>
  </si>
  <si>
    <t>Customer490</t>
  </si>
  <si>
    <t>Customer491</t>
  </si>
  <si>
    <t>Customer492</t>
  </si>
  <si>
    <t>Customer493</t>
  </si>
  <si>
    <t>Customer494</t>
  </si>
  <si>
    <t>Customer495</t>
  </si>
  <si>
    <t>Customer496</t>
  </si>
  <si>
    <t>Customer497</t>
  </si>
  <si>
    <t>Customer498</t>
  </si>
  <si>
    <t>Customer499</t>
  </si>
  <si>
    <t>Customer500</t>
  </si>
  <si>
    <t>Customer501</t>
  </si>
  <si>
    <t>Customer502</t>
  </si>
  <si>
    <t>Customer503</t>
  </si>
  <si>
    <t>Customer504</t>
  </si>
  <si>
    <t>Customer505</t>
  </si>
  <si>
    <t>Customer506</t>
  </si>
  <si>
    <t>Customer507</t>
  </si>
  <si>
    <t>Customer508</t>
  </si>
  <si>
    <t>Customer509</t>
  </si>
  <si>
    <t>Customer510</t>
  </si>
  <si>
    <t>Customer511</t>
  </si>
  <si>
    <t>Customer512</t>
  </si>
  <si>
    <t>Customer513</t>
  </si>
  <si>
    <t>Customer514</t>
  </si>
  <si>
    <t>Customer515</t>
  </si>
  <si>
    <t>Customer516</t>
  </si>
  <si>
    <t>Customer517</t>
  </si>
  <si>
    <t>Customer518</t>
  </si>
  <si>
    <t>Customer519</t>
  </si>
  <si>
    <t>Customer520</t>
  </si>
  <si>
    <t>Customer521</t>
  </si>
  <si>
    <t>Customer522</t>
  </si>
  <si>
    <t>Customer523</t>
  </si>
  <si>
    <t>Customer524</t>
  </si>
  <si>
    <t>Customer525</t>
  </si>
  <si>
    <t>Customer526</t>
  </si>
  <si>
    <t>Customer527</t>
  </si>
  <si>
    <t>Customer528</t>
  </si>
  <si>
    <t>Customer529</t>
  </si>
  <si>
    <t>Customer530</t>
  </si>
  <si>
    <t>Customer531</t>
  </si>
  <si>
    <t>Customer532</t>
  </si>
  <si>
    <t>Customer533</t>
  </si>
  <si>
    <t>Customer534</t>
  </si>
  <si>
    <t>Customer535</t>
  </si>
  <si>
    <t>Customer536</t>
  </si>
  <si>
    <t>Customer537</t>
  </si>
  <si>
    <t>Customer538</t>
  </si>
  <si>
    <t>Customer539</t>
  </si>
  <si>
    <t>Customer540</t>
  </si>
  <si>
    <t>Customer541</t>
  </si>
  <si>
    <t>Customer542</t>
  </si>
  <si>
    <t>Customer543</t>
  </si>
  <si>
    <t>Customer544</t>
  </si>
  <si>
    <t>Customer545</t>
  </si>
  <si>
    <t>Customer546</t>
  </si>
  <si>
    <t>Customer547</t>
  </si>
  <si>
    <t>Customer548</t>
  </si>
  <si>
    <t>Customer549</t>
  </si>
  <si>
    <t>Customer550</t>
  </si>
  <si>
    <t>Customer551</t>
  </si>
  <si>
    <t>Customer552</t>
  </si>
  <si>
    <t>Customer553</t>
  </si>
  <si>
    <t>Customer554</t>
  </si>
  <si>
    <t>Customer555</t>
  </si>
  <si>
    <t>Customer556</t>
  </si>
  <si>
    <t>Customer557</t>
  </si>
  <si>
    <t>Customer558</t>
  </si>
  <si>
    <t>Customer559</t>
  </si>
  <si>
    <t>Customer560</t>
  </si>
  <si>
    <t>Customer561</t>
  </si>
  <si>
    <t>Customer562</t>
  </si>
  <si>
    <t>Customer563</t>
  </si>
  <si>
    <t>Customer564</t>
  </si>
  <si>
    <t>Customer565</t>
  </si>
  <si>
    <t>Customer566</t>
  </si>
  <si>
    <t>Customer567</t>
  </si>
  <si>
    <t>Customer568</t>
  </si>
  <si>
    <t>Customer569</t>
  </si>
  <si>
    <t>Customer570</t>
  </si>
  <si>
    <t>Customer571</t>
  </si>
  <si>
    <t>Customer572</t>
  </si>
  <si>
    <t>Customer573</t>
  </si>
  <si>
    <t>Customer574</t>
  </si>
  <si>
    <t>Customer575</t>
  </si>
  <si>
    <t>Customer576</t>
  </si>
  <si>
    <t>Customer577</t>
  </si>
  <si>
    <t>Customer578</t>
  </si>
  <si>
    <t>Customer579</t>
  </si>
  <si>
    <t>Customer580</t>
  </si>
  <si>
    <t>Customer581</t>
  </si>
  <si>
    <t>Customer582</t>
  </si>
  <si>
    <t>Customer583</t>
  </si>
  <si>
    <t>Customer584</t>
  </si>
  <si>
    <t>Customer585</t>
  </si>
  <si>
    <t>Customer586</t>
  </si>
  <si>
    <t>Customer587</t>
  </si>
  <si>
    <t>Customer588</t>
  </si>
  <si>
    <t>Customer589</t>
  </si>
  <si>
    <t>Customer590</t>
  </si>
  <si>
    <t>Customer591</t>
  </si>
  <si>
    <t>Customer592</t>
  </si>
  <si>
    <t>Customer593</t>
  </si>
  <si>
    <t>Customer594</t>
  </si>
  <si>
    <t>Customer595</t>
  </si>
  <si>
    <t>Customer596</t>
  </si>
  <si>
    <t>Customer597</t>
  </si>
  <si>
    <t>Customer598</t>
  </si>
  <si>
    <t>Customer599</t>
  </si>
  <si>
    <t>Customer600</t>
  </si>
  <si>
    <t>Customer601</t>
  </si>
  <si>
    <t>Customer602</t>
  </si>
  <si>
    <t>Customer603</t>
  </si>
  <si>
    <t>Customer604</t>
  </si>
  <si>
    <t>Customer605</t>
  </si>
  <si>
    <t>Customer606</t>
  </si>
  <si>
    <t>Customer607</t>
  </si>
  <si>
    <t>Customer608</t>
  </si>
  <si>
    <t>Customer609</t>
  </si>
  <si>
    <t>Customer610</t>
  </si>
  <si>
    <t>Customer611</t>
  </si>
  <si>
    <t>Customer612</t>
  </si>
  <si>
    <t>Customer613</t>
  </si>
  <si>
    <t>Customer614</t>
  </si>
  <si>
    <t>Customer615</t>
  </si>
  <si>
    <t>Customer616</t>
  </si>
  <si>
    <t>Customer617</t>
  </si>
  <si>
    <t>Customer618</t>
  </si>
  <si>
    <t>Customer619</t>
  </si>
  <si>
    <t>Customer620</t>
  </si>
  <si>
    <t>Customer621</t>
  </si>
  <si>
    <t>Customer622</t>
  </si>
  <si>
    <t>Customer623</t>
  </si>
  <si>
    <t>Customer624</t>
  </si>
  <si>
    <t>Customer625</t>
  </si>
  <si>
    <t>Customer626</t>
  </si>
  <si>
    <t>Customer627</t>
  </si>
  <si>
    <t>Customer628</t>
  </si>
  <si>
    <t>Customer629</t>
  </si>
  <si>
    <t>Customer630</t>
  </si>
  <si>
    <t>Customer631</t>
  </si>
  <si>
    <t>Customer632</t>
  </si>
  <si>
    <t>Customer633</t>
  </si>
  <si>
    <t>Customer634</t>
  </si>
  <si>
    <t>Customer635</t>
  </si>
  <si>
    <t>Customer636</t>
  </si>
  <si>
    <t>Customer637</t>
  </si>
  <si>
    <t>Customer638</t>
  </si>
  <si>
    <t>Customer639</t>
  </si>
  <si>
    <t>Customer640</t>
  </si>
  <si>
    <t>Customer641</t>
  </si>
  <si>
    <t>Customer642</t>
  </si>
  <si>
    <t>Customer643</t>
  </si>
  <si>
    <t>Customer644</t>
  </si>
  <si>
    <t>Customer645</t>
  </si>
  <si>
    <t>Customer646</t>
  </si>
  <si>
    <t>Customer647</t>
  </si>
  <si>
    <t>Customer648</t>
  </si>
  <si>
    <t>Customer649</t>
  </si>
  <si>
    <t>Customer650</t>
  </si>
  <si>
    <t>Customer651</t>
  </si>
  <si>
    <t>Customer652</t>
  </si>
  <si>
    <t>Customer653</t>
  </si>
  <si>
    <t>Customer654</t>
  </si>
  <si>
    <t>Customer655</t>
  </si>
  <si>
    <t>Customer656</t>
  </si>
  <si>
    <t>Customer657</t>
  </si>
  <si>
    <t>Customer658</t>
  </si>
  <si>
    <t>Customer659</t>
  </si>
  <si>
    <t>Customer660</t>
  </si>
  <si>
    <t>Customer661</t>
  </si>
  <si>
    <t>Customer662</t>
  </si>
  <si>
    <t>Customer663</t>
  </si>
  <si>
    <t>Customer664</t>
  </si>
  <si>
    <t>Customer665</t>
  </si>
  <si>
    <t>Customer666</t>
  </si>
  <si>
    <t>Customer667</t>
  </si>
  <si>
    <t>Customer668</t>
  </si>
  <si>
    <t>Customer669</t>
  </si>
  <si>
    <t>Customer670</t>
  </si>
  <si>
    <t>Customer671</t>
  </si>
  <si>
    <t>Customer672</t>
  </si>
  <si>
    <t>Customer673</t>
  </si>
  <si>
    <t>Customer674</t>
  </si>
  <si>
    <t>Customer675</t>
  </si>
  <si>
    <t>Customer676</t>
  </si>
  <si>
    <t>Customer677</t>
  </si>
  <si>
    <t>Customer678</t>
  </si>
  <si>
    <t>Customer679</t>
  </si>
  <si>
    <t>Customer680</t>
  </si>
  <si>
    <t>Customer681</t>
  </si>
  <si>
    <t>Customer682</t>
  </si>
  <si>
    <t>Customer683</t>
  </si>
  <si>
    <t>Customer684</t>
  </si>
  <si>
    <t>Customer685</t>
  </si>
  <si>
    <t>Customer686</t>
  </si>
  <si>
    <t>Customer687</t>
  </si>
  <si>
    <t>Customer688</t>
  </si>
  <si>
    <t>Customer689</t>
  </si>
  <si>
    <t>Customer690</t>
  </si>
  <si>
    <t>Customer691</t>
  </si>
  <si>
    <t>Customer692</t>
  </si>
  <si>
    <t>Customer693</t>
  </si>
  <si>
    <t>Customer694</t>
  </si>
  <si>
    <t>Customer695</t>
  </si>
  <si>
    <t>Customer696</t>
  </si>
  <si>
    <t>Customer697</t>
  </si>
  <si>
    <t>Customer698</t>
  </si>
  <si>
    <t>Customer699</t>
  </si>
  <si>
    <t>Customer700</t>
  </si>
  <si>
    <t>Customer701</t>
  </si>
  <si>
    <t>Customer702</t>
  </si>
  <si>
    <t>Customer703</t>
  </si>
  <si>
    <t>Customer704</t>
  </si>
  <si>
    <t>Customer705</t>
  </si>
  <si>
    <t>Customer706</t>
  </si>
  <si>
    <t>Customer707</t>
  </si>
  <si>
    <t>Customer708</t>
  </si>
  <si>
    <t>Customer709</t>
  </si>
  <si>
    <t>Customer710</t>
  </si>
  <si>
    <t>Customer711</t>
  </si>
  <si>
    <t>Customer712</t>
  </si>
  <si>
    <t>Customer713</t>
  </si>
  <si>
    <t>Customer714</t>
  </si>
  <si>
    <t>Customer715</t>
  </si>
  <si>
    <t>Customer716</t>
  </si>
  <si>
    <t>Customer717</t>
  </si>
  <si>
    <t>Customer718</t>
  </si>
  <si>
    <t>Customer719</t>
  </si>
  <si>
    <t>Customer720</t>
  </si>
  <si>
    <t>Customer721</t>
  </si>
  <si>
    <t>Customer722</t>
  </si>
  <si>
    <t>Customer723</t>
  </si>
  <si>
    <t>Customer724</t>
  </si>
  <si>
    <t>Customer725</t>
  </si>
  <si>
    <t>Customer726</t>
  </si>
  <si>
    <t>Customer727</t>
  </si>
  <si>
    <t>Customer728</t>
  </si>
  <si>
    <t>Customer729</t>
  </si>
  <si>
    <t>Customer730</t>
  </si>
  <si>
    <t>Customer731</t>
  </si>
  <si>
    <t>Customer732</t>
  </si>
  <si>
    <t>Customer733</t>
  </si>
  <si>
    <t>Customer734</t>
  </si>
  <si>
    <t>Customer735</t>
  </si>
  <si>
    <t>Customer736</t>
  </si>
  <si>
    <t>Customer737</t>
  </si>
  <si>
    <t>Customer738</t>
  </si>
  <si>
    <t>Customer739</t>
  </si>
  <si>
    <t>Customer740</t>
  </si>
  <si>
    <t>Customer741</t>
  </si>
  <si>
    <t>Customer742</t>
  </si>
  <si>
    <t>Customer743</t>
  </si>
  <si>
    <t>Customer744</t>
  </si>
  <si>
    <t>Customer745</t>
  </si>
  <si>
    <t>Customer746</t>
  </si>
  <si>
    <t>Customer747</t>
  </si>
  <si>
    <t>Customer748</t>
  </si>
  <si>
    <t>Customer749</t>
  </si>
  <si>
    <t>Customer750</t>
  </si>
  <si>
    <t>Customer751</t>
  </si>
  <si>
    <t>Customer752</t>
  </si>
  <si>
    <t>Customer753</t>
  </si>
  <si>
    <t>Customer754</t>
  </si>
  <si>
    <t>Customer755</t>
  </si>
  <si>
    <t>Customer756</t>
  </si>
  <si>
    <t>Customer757</t>
  </si>
  <si>
    <t>Customer758</t>
  </si>
  <si>
    <t>Customer759</t>
  </si>
  <si>
    <t>Customer760</t>
  </si>
  <si>
    <t>Customer761</t>
  </si>
  <si>
    <t>Customer762</t>
  </si>
  <si>
    <t>Customer763</t>
  </si>
  <si>
    <t>Customer764</t>
  </si>
  <si>
    <t>Customer765</t>
  </si>
  <si>
    <t>Customer766</t>
  </si>
  <si>
    <t>Customer767</t>
  </si>
  <si>
    <t>Customer768</t>
  </si>
  <si>
    <t>Customer769</t>
  </si>
  <si>
    <t>Customer770</t>
  </si>
  <si>
    <t>Customer771</t>
  </si>
  <si>
    <t>Customer772</t>
  </si>
  <si>
    <t>Customer773</t>
  </si>
  <si>
    <t>Customer774</t>
  </si>
  <si>
    <t>Customer775</t>
  </si>
  <si>
    <t>Customer776</t>
  </si>
  <si>
    <t>Customer777</t>
  </si>
  <si>
    <t>Customer778</t>
  </si>
  <si>
    <t>Customer779</t>
  </si>
  <si>
    <t>Customer780</t>
  </si>
  <si>
    <t>Customer781</t>
  </si>
  <si>
    <t>Customer782</t>
  </si>
  <si>
    <t>Customer783</t>
  </si>
  <si>
    <t>Customer784</t>
  </si>
  <si>
    <t>Customer785</t>
  </si>
  <si>
    <t>Customer786</t>
  </si>
  <si>
    <t>Customer787</t>
  </si>
  <si>
    <t>Customer788</t>
  </si>
  <si>
    <t>Customer789</t>
  </si>
  <si>
    <t>Customer790</t>
  </si>
  <si>
    <t>Customer791</t>
  </si>
  <si>
    <t>Customer792</t>
  </si>
  <si>
    <t>Customer793</t>
  </si>
  <si>
    <t>Customer794</t>
  </si>
  <si>
    <t>Customer795</t>
  </si>
  <si>
    <t>Customer796</t>
  </si>
  <si>
    <t>Customer797</t>
  </si>
  <si>
    <t>Customer798</t>
  </si>
  <si>
    <t>Customer799</t>
  </si>
  <si>
    <t>Customer800</t>
  </si>
  <si>
    <t>Customer801</t>
  </si>
  <si>
    <t>Customer802</t>
  </si>
  <si>
    <t>Customer803</t>
  </si>
  <si>
    <t>Customer804</t>
  </si>
  <si>
    <t>Customer805</t>
  </si>
  <si>
    <t>Customer806</t>
  </si>
  <si>
    <t>Customer807</t>
  </si>
  <si>
    <t>Customer808</t>
  </si>
  <si>
    <t>Customer809</t>
  </si>
  <si>
    <t>Customer810</t>
  </si>
  <si>
    <t>Customer811</t>
  </si>
  <si>
    <t>Customer812</t>
  </si>
  <si>
    <t>Customer813</t>
  </si>
  <si>
    <t>Customer814</t>
  </si>
  <si>
    <t>Customer815</t>
  </si>
  <si>
    <t>Customer816</t>
  </si>
  <si>
    <t>Customer817</t>
  </si>
  <si>
    <t>Customer818</t>
  </si>
  <si>
    <t>Customer819</t>
  </si>
  <si>
    <t>Customer820</t>
  </si>
  <si>
    <t>Customer821</t>
  </si>
  <si>
    <t>Customer822</t>
  </si>
  <si>
    <t>Customer823</t>
  </si>
  <si>
    <t>Customer824</t>
  </si>
  <si>
    <t>Customer825</t>
  </si>
  <si>
    <t>Customer826</t>
  </si>
  <si>
    <t>Customer827</t>
  </si>
  <si>
    <t>Customer828</t>
  </si>
  <si>
    <t>Customer829</t>
  </si>
  <si>
    <t>Customer830</t>
  </si>
  <si>
    <t>Customer831</t>
  </si>
  <si>
    <t>Customer832</t>
  </si>
  <si>
    <t>Customer833</t>
  </si>
  <si>
    <t>Customer834</t>
  </si>
  <si>
    <t>Customer835</t>
  </si>
  <si>
    <t>Customer836</t>
  </si>
  <si>
    <t>Customer837</t>
  </si>
  <si>
    <t>Customer838</t>
  </si>
  <si>
    <t>Customer839</t>
  </si>
  <si>
    <t>Customer840</t>
  </si>
  <si>
    <t>Customer841</t>
  </si>
  <si>
    <t>Customer842</t>
  </si>
  <si>
    <t>Customer843</t>
  </si>
  <si>
    <t>Customer844</t>
  </si>
  <si>
    <t>Customer845</t>
  </si>
  <si>
    <t>Customer846</t>
  </si>
  <si>
    <t>Customer847</t>
  </si>
  <si>
    <t>Customer848</t>
  </si>
  <si>
    <t>Customer849</t>
  </si>
  <si>
    <t>Customer850</t>
  </si>
  <si>
    <t>Customer851</t>
  </si>
  <si>
    <t>Customer852</t>
  </si>
  <si>
    <t>Customer853</t>
  </si>
  <si>
    <t>Customer854</t>
  </si>
  <si>
    <t>Customer855</t>
  </si>
  <si>
    <t>Customer856</t>
  </si>
  <si>
    <t>Customer857</t>
  </si>
  <si>
    <t>Customer858</t>
  </si>
  <si>
    <t>Customer859</t>
  </si>
  <si>
    <t>Customer860</t>
  </si>
  <si>
    <t>Customer861</t>
  </si>
  <si>
    <t>Customer862</t>
  </si>
  <si>
    <t>Customer863</t>
  </si>
  <si>
    <t>Customer864</t>
  </si>
  <si>
    <t>Customer865</t>
  </si>
  <si>
    <t>Customer866</t>
  </si>
  <si>
    <t>Customer867</t>
  </si>
  <si>
    <t>Customer868</t>
  </si>
  <si>
    <t>Customer869</t>
  </si>
  <si>
    <t>Customer870</t>
  </si>
  <si>
    <t>Customer871</t>
  </si>
  <si>
    <t>Customer872</t>
  </si>
  <si>
    <t>Customer873</t>
  </si>
  <si>
    <t>Customer874</t>
  </si>
  <si>
    <t>Customer875</t>
  </si>
  <si>
    <t>Customer876</t>
  </si>
  <si>
    <t>Customer877</t>
  </si>
  <si>
    <t>Customer878</t>
  </si>
  <si>
    <t>Customer879</t>
  </si>
  <si>
    <t>Customer880</t>
  </si>
  <si>
    <t>Customer881</t>
  </si>
  <si>
    <t>Customer882</t>
  </si>
  <si>
    <t>Customer883</t>
  </si>
  <si>
    <t>Customer884</t>
  </si>
  <si>
    <t>Customer885</t>
  </si>
  <si>
    <t>Customer886</t>
  </si>
  <si>
    <t>Customer887</t>
  </si>
  <si>
    <t>Customer888</t>
  </si>
  <si>
    <t>Customer889</t>
  </si>
  <si>
    <t>Customer890</t>
  </si>
  <si>
    <t>Customer891</t>
  </si>
  <si>
    <t>Customer892</t>
  </si>
  <si>
    <t>Customer893</t>
  </si>
  <si>
    <t>Customer894</t>
  </si>
  <si>
    <t>Customer895</t>
  </si>
  <si>
    <t>Customer896</t>
  </si>
  <si>
    <t>Customer897</t>
  </si>
  <si>
    <t>Customer898</t>
  </si>
  <si>
    <t>Customer899</t>
  </si>
  <si>
    <t>Customer900</t>
  </si>
  <si>
    <t>Customer901</t>
  </si>
  <si>
    <t>Customer902</t>
  </si>
  <si>
    <t>Customer903</t>
  </si>
  <si>
    <t>Customer904</t>
  </si>
  <si>
    <t>Customer905</t>
  </si>
  <si>
    <t>Customer906</t>
  </si>
  <si>
    <t>Customer907</t>
  </si>
  <si>
    <t>Customer908</t>
  </si>
  <si>
    <t>Customer909</t>
  </si>
  <si>
    <t>Customer910</t>
  </si>
  <si>
    <t>Customer911</t>
  </si>
  <si>
    <t>Customer912</t>
  </si>
  <si>
    <t>Customer913</t>
  </si>
  <si>
    <t>Customer914</t>
  </si>
  <si>
    <t>Customer915</t>
  </si>
  <si>
    <t>Customer916</t>
  </si>
  <si>
    <t>Customer917</t>
  </si>
  <si>
    <t>Customer918</t>
  </si>
  <si>
    <t>Customer919</t>
  </si>
  <si>
    <t>Customer920</t>
  </si>
  <si>
    <t>Customer921</t>
  </si>
  <si>
    <t>Customer922</t>
  </si>
  <si>
    <t>Customer923</t>
  </si>
  <si>
    <t>Customer924</t>
  </si>
  <si>
    <t>Customer925</t>
  </si>
  <si>
    <t>Customer926</t>
  </si>
  <si>
    <t>Customer927</t>
  </si>
  <si>
    <t>Customer928</t>
  </si>
  <si>
    <t>Customer929</t>
  </si>
  <si>
    <t>Customer930</t>
  </si>
  <si>
    <t>Customer931</t>
  </si>
  <si>
    <t>Customer932</t>
  </si>
  <si>
    <t>Customer933</t>
  </si>
  <si>
    <t>Customer934</t>
  </si>
  <si>
    <t>Customer935</t>
  </si>
  <si>
    <t>Customer936</t>
  </si>
  <si>
    <t>Customer937</t>
  </si>
  <si>
    <t>Customer938</t>
  </si>
  <si>
    <t>Customer939</t>
  </si>
  <si>
    <t>Customer940</t>
  </si>
  <si>
    <t>Customer941</t>
  </si>
  <si>
    <t>Customer942</t>
  </si>
  <si>
    <t>Customer943</t>
  </si>
  <si>
    <t>Customer944</t>
  </si>
  <si>
    <t>Customer945</t>
  </si>
  <si>
    <t>Customer946</t>
  </si>
  <si>
    <t>Customer947</t>
  </si>
  <si>
    <t>Customer948</t>
  </si>
  <si>
    <t>Customer949</t>
  </si>
  <si>
    <t>Customer950</t>
  </si>
  <si>
    <t>Customer951</t>
  </si>
  <si>
    <t>Customer952</t>
  </si>
  <si>
    <t>Customer953</t>
  </si>
  <si>
    <t>Customer954</t>
  </si>
  <si>
    <t>Customer955</t>
  </si>
  <si>
    <t>Customer956</t>
  </si>
  <si>
    <t>Customer957</t>
  </si>
  <si>
    <t>Customer958</t>
  </si>
  <si>
    <t>Customer959</t>
  </si>
  <si>
    <t>Customer960</t>
  </si>
  <si>
    <t>Customer961</t>
  </si>
  <si>
    <t>Customer962</t>
  </si>
  <si>
    <t>Customer963</t>
  </si>
  <si>
    <t>Customer964</t>
  </si>
  <si>
    <t>Customer965</t>
  </si>
  <si>
    <t>Customer966</t>
  </si>
  <si>
    <t>Customer967</t>
  </si>
  <si>
    <t>Customer968</t>
  </si>
  <si>
    <t>Customer969</t>
  </si>
  <si>
    <t>Customer970</t>
  </si>
  <si>
    <t>Customer971</t>
  </si>
  <si>
    <t>Customer972</t>
  </si>
  <si>
    <t>Customer973</t>
  </si>
  <si>
    <t>Customer974</t>
  </si>
  <si>
    <t>Customer975</t>
  </si>
  <si>
    <t>Customer976</t>
  </si>
  <si>
    <t>Customer977</t>
  </si>
  <si>
    <t>Customer978</t>
  </si>
  <si>
    <t>Customer979</t>
  </si>
  <si>
    <t>Customer980</t>
  </si>
  <si>
    <t>Customer981</t>
  </si>
  <si>
    <t>Customer982</t>
  </si>
  <si>
    <t>Customer983</t>
  </si>
  <si>
    <t>Customer984</t>
  </si>
  <si>
    <t>Customer985</t>
  </si>
  <si>
    <t>Customer986</t>
  </si>
  <si>
    <t>Customer987</t>
  </si>
  <si>
    <t>Customer988</t>
  </si>
  <si>
    <t>Customer989</t>
  </si>
  <si>
    <t>Customer990</t>
  </si>
  <si>
    <t>Customer991</t>
  </si>
  <si>
    <t>Customer992</t>
  </si>
  <si>
    <t>Customer993</t>
  </si>
  <si>
    <t>Customer994</t>
  </si>
  <si>
    <t>Customer995</t>
  </si>
  <si>
    <t>Customer996</t>
  </si>
  <si>
    <t>Customer997</t>
  </si>
  <si>
    <t>Customer998</t>
  </si>
  <si>
    <t>Customer999</t>
  </si>
  <si>
    <t>Customer1000</t>
  </si>
  <si>
    <t>Status</t>
  </si>
  <si>
    <t>Month-Year</t>
  </si>
  <si>
    <t>Days Since Last Login</t>
  </si>
  <si>
    <t>Row Labels</t>
  </si>
  <si>
    <t>Active</t>
  </si>
  <si>
    <t>Churned</t>
  </si>
  <si>
    <t>Grand Total</t>
  </si>
  <si>
    <t>Count of Name</t>
  </si>
  <si>
    <t>Sum of IsChurned</t>
  </si>
  <si>
    <t>Average of IsChurned</t>
  </si>
  <si>
    <t>Apr-2022</t>
  </si>
  <si>
    <t>Apr-2023</t>
  </si>
  <si>
    <t>Apr-2024</t>
  </si>
  <si>
    <t>Aug-2022</t>
  </si>
  <si>
    <t>Aug-2023</t>
  </si>
  <si>
    <t>Dec-2022</t>
  </si>
  <si>
    <t>Dec-2023</t>
  </si>
  <si>
    <t>Feb-2022</t>
  </si>
  <si>
    <t>Feb-2023</t>
  </si>
  <si>
    <t>Feb-2024</t>
  </si>
  <si>
    <t>Jan-2022</t>
  </si>
  <si>
    <t>Jan-2023</t>
  </si>
  <si>
    <t>Jan-2024</t>
  </si>
  <si>
    <t>Jul-2022</t>
  </si>
  <si>
    <t>Jul-2023</t>
  </si>
  <si>
    <t>Jun-2022</t>
  </si>
  <si>
    <t>Jun-2023</t>
  </si>
  <si>
    <t>Jun-2024</t>
  </si>
  <si>
    <t>Mar-2022</t>
  </si>
  <si>
    <t>Mar-2023</t>
  </si>
  <si>
    <t>Mar-2024</t>
  </si>
  <si>
    <t>May-2022</t>
  </si>
  <si>
    <t>May-2023</t>
  </si>
  <si>
    <t>May-2024</t>
  </si>
  <si>
    <t>Nov-2022</t>
  </si>
  <si>
    <t>Nov-2023</t>
  </si>
  <si>
    <t>Oct-2022</t>
  </si>
  <si>
    <t>Oct-2023</t>
  </si>
  <si>
    <t>Sep-2022</t>
  </si>
  <si>
    <t>Sep-2023</t>
  </si>
  <si>
    <t>KPI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</si>
</sst>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8"/>
      <name val="Aptos Narrow"/>
      <family val="2"/>
      <scheme val="minor"/>
    </font>
    <font>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2" fillId="0" borderId="0" applyFont="0" applyFill="0" applyBorder="0" applyAlignment="0" applyProtection="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9" fontId="0" fillId="0" borderId="0" xfId="1" applyFont="1"/>
  </cellXfs>
  <cellStyles count="2">
    <cellStyle name="Normal" xfId="0" builtinId="0"/>
    <cellStyle name="Percent" xfId="1" builtinId="5"/>
  </cellStyles>
  <dxfs count="5">
    <dxf>
      <numFmt numFmtId="19" formatCode="dd/mm/yyyy"/>
    </dxf>
    <dxf>
      <numFmt numFmtId="0" formatCode="General"/>
    </dxf>
    <dxf>
      <numFmt numFmtId="0" formatCode="General"/>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[Business case study dashboard.xlsx]tables!PivotTable4</c:name>
    <c:fmtId val="3"/>
  </c:pivotSource>
  <c:chart>
    <c:title>
      <c:tx>
        <c:rich>
          <a:bodyPr rot="0" spcFirstLastPara="1" vertOverflow="ellipsis" vert="horz" wrap="square" anchor="ctr" anchorCtr="1"/>
          <a:lstStyle/>
          <a:p>
            <a:pPr>
              <a:defRPr sz="1200" b="1" i="0" u="none" strike="noStrike" kern="1200" cap="all" spc="100" normalizeH="0" baseline="0">
                <a:solidFill>
                  <a:schemeClr val="lt1"/>
                </a:solidFill>
                <a:latin typeface="+mn-lt"/>
                <a:ea typeface="+mn-ea"/>
                <a:cs typeface="+mn-cs"/>
              </a:defRPr>
            </a:pPr>
            <a:r>
              <a:rPr lang="en-IN" sz="1200" b="1" i="0" u="none" strike="noStrike" cap="all" normalizeH="0" baseline="0"/>
              <a:t>Monthly Churn Trend</a:t>
            </a:r>
            <a:endParaRPr lang="en-US" sz="1200"/>
          </a:p>
        </c:rich>
      </c:tx>
      <c:overlay val="0"/>
      <c:spPr>
        <a:noFill/>
        <a:ln>
          <a:noFill/>
        </a:ln>
        <a:effectLst/>
      </c:spPr>
      <c:txPr>
        <a:bodyPr rot="0" spcFirstLastPara="1" vertOverflow="ellipsis" vert="horz" wrap="square" anchor="ctr" anchorCtr="1"/>
        <a:lstStyle/>
        <a:p>
          <a:pPr>
            <a:defRPr sz="12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tables!$E$1</c:f>
              <c:strCache>
                <c:ptCount val="1"/>
                <c:pt idx="0">
                  <c:v>Total</c:v>
                </c:pt>
              </c:strCache>
            </c:strRef>
          </c:tx>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cat>
            <c:strRef>
              <c:f>tables!$D$2:$D$32</c:f>
              <c:strCache>
                <c:ptCount val="30"/>
                <c:pt idx="0">
                  <c:v>Apr-2022</c:v>
                </c:pt>
                <c:pt idx="1">
                  <c:v>Apr-2023</c:v>
                </c:pt>
                <c:pt idx="2">
                  <c:v>Apr-2024</c:v>
                </c:pt>
                <c:pt idx="3">
                  <c:v>Aug-2022</c:v>
                </c:pt>
                <c:pt idx="4">
                  <c:v>Aug-2023</c:v>
                </c:pt>
                <c:pt idx="5">
                  <c:v>Dec-2022</c:v>
                </c:pt>
                <c:pt idx="6">
                  <c:v>Dec-2023</c:v>
                </c:pt>
                <c:pt idx="7">
                  <c:v>Feb-2022</c:v>
                </c:pt>
                <c:pt idx="8">
                  <c:v>Feb-2023</c:v>
                </c:pt>
                <c:pt idx="9">
                  <c:v>Feb-2024</c:v>
                </c:pt>
                <c:pt idx="10">
                  <c:v>Jan-2022</c:v>
                </c:pt>
                <c:pt idx="11">
                  <c:v>Jan-2023</c:v>
                </c:pt>
                <c:pt idx="12">
                  <c:v>Jan-2024</c:v>
                </c:pt>
                <c:pt idx="13">
                  <c:v>Jul-2022</c:v>
                </c:pt>
                <c:pt idx="14">
                  <c:v>Jul-2023</c:v>
                </c:pt>
                <c:pt idx="15">
                  <c:v>Jun-2022</c:v>
                </c:pt>
                <c:pt idx="16">
                  <c:v>Jun-2023</c:v>
                </c:pt>
                <c:pt idx="17">
                  <c:v>Jun-2024</c:v>
                </c:pt>
                <c:pt idx="18">
                  <c:v>Mar-2022</c:v>
                </c:pt>
                <c:pt idx="19">
                  <c:v>Mar-2023</c:v>
                </c:pt>
                <c:pt idx="20">
                  <c:v>Mar-2024</c:v>
                </c:pt>
                <c:pt idx="21">
                  <c:v>May-2022</c:v>
                </c:pt>
                <c:pt idx="22">
                  <c:v>May-2023</c:v>
                </c:pt>
                <c:pt idx="23">
                  <c:v>May-2024</c:v>
                </c:pt>
                <c:pt idx="24">
                  <c:v>Nov-2022</c:v>
                </c:pt>
                <c:pt idx="25">
                  <c:v>Nov-2023</c:v>
                </c:pt>
                <c:pt idx="26">
                  <c:v>Oct-2022</c:v>
                </c:pt>
                <c:pt idx="27">
                  <c:v>Oct-2023</c:v>
                </c:pt>
                <c:pt idx="28">
                  <c:v>Sep-2022</c:v>
                </c:pt>
                <c:pt idx="29">
                  <c:v>Sep-2023</c:v>
                </c:pt>
              </c:strCache>
            </c:strRef>
          </c:cat>
          <c:val>
            <c:numRef>
              <c:f>tables!$E$2:$E$32</c:f>
              <c:numCache>
                <c:formatCode>General</c:formatCode>
                <c:ptCount val="30"/>
                <c:pt idx="0">
                  <c:v>16</c:v>
                </c:pt>
                <c:pt idx="1">
                  <c:v>21</c:v>
                </c:pt>
                <c:pt idx="2">
                  <c:v>10</c:v>
                </c:pt>
                <c:pt idx="3">
                  <c:v>17</c:v>
                </c:pt>
                <c:pt idx="4">
                  <c:v>17</c:v>
                </c:pt>
                <c:pt idx="5">
                  <c:v>9</c:v>
                </c:pt>
                <c:pt idx="6">
                  <c:v>21</c:v>
                </c:pt>
                <c:pt idx="7">
                  <c:v>11</c:v>
                </c:pt>
                <c:pt idx="8">
                  <c:v>13</c:v>
                </c:pt>
                <c:pt idx="9">
                  <c:v>16</c:v>
                </c:pt>
                <c:pt idx="10">
                  <c:v>20</c:v>
                </c:pt>
                <c:pt idx="11">
                  <c:v>17</c:v>
                </c:pt>
                <c:pt idx="12">
                  <c:v>23</c:v>
                </c:pt>
                <c:pt idx="13">
                  <c:v>17</c:v>
                </c:pt>
                <c:pt idx="14">
                  <c:v>15</c:v>
                </c:pt>
                <c:pt idx="15">
                  <c:v>13</c:v>
                </c:pt>
                <c:pt idx="16">
                  <c:v>17</c:v>
                </c:pt>
                <c:pt idx="17">
                  <c:v>14</c:v>
                </c:pt>
                <c:pt idx="18">
                  <c:v>24</c:v>
                </c:pt>
                <c:pt idx="19">
                  <c:v>21</c:v>
                </c:pt>
                <c:pt idx="20">
                  <c:v>20</c:v>
                </c:pt>
                <c:pt idx="21">
                  <c:v>12</c:v>
                </c:pt>
                <c:pt idx="22">
                  <c:v>18</c:v>
                </c:pt>
                <c:pt idx="23">
                  <c:v>20</c:v>
                </c:pt>
                <c:pt idx="24">
                  <c:v>15</c:v>
                </c:pt>
                <c:pt idx="25">
                  <c:v>18</c:v>
                </c:pt>
                <c:pt idx="26">
                  <c:v>16</c:v>
                </c:pt>
                <c:pt idx="27">
                  <c:v>15</c:v>
                </c:pt>
                <c:pt idx="28">
                  <c:v>10</c:v>
                </c:pt>
                <c:pt idx="29">
                  <c:v>14</c:v>
                </c:pt>
              </c:numCache>
            </c:numRef>
          </c:val>
          <c:smooth val="0"/>
          <c:extLst>
            <c:ext xmlns:c16="http://schemas.microsoft.com/office/drawing/2014/chart" uri="{C3380CC4-5D6E-409C-BE32-E72D297353CC}">
              <c16:uniqueId val="{00000000-EDB1-4B9B-9BE0-320359FCD4CC}"/>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539566591"/>
        <c:axId val="1539565151"/>
      </c:lineChart>
      <c:catAx>
        <c:axId val="1539566591"/>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539565151"/>
        <c:crosses val="autoZero"/>
        <c:auto val="1"/>
        <c:lblAlgn val="ctr"/>
        <c:lblOffset val="100"/>
        <c:noMultiLvlLbl val="0"/>
      </c:catAx>
      <c:valAx>
        <c:axId val="15395651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39566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[Business case study dashboard.xlsx]tables!PivotTable3</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200" b="1" i="0" u="none" strike="noStrike" baseline="0">
                <a:solidFill>
                  <a:srgbClr val="00B050"/>
                </a:solidFill>
              </a:rPr>
              <a:t>Churn Rate by SubscriptionType</a:t>
            </a:r>
            <a:endParaRPr lang="en-IN" sz="1200" b="1">
              <a:solidFill>
                <a:srgbClr val="00B050"/>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tables!$B$7</c:f>
              <c:strCache>
                <c:ptCount val="1"/>
                <c:pt idx="0">
                  <c:v>Total</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tables!$A$8:$A$11</c:f>
              <c:strCache>
                <c:ptCount val="3"/>
                <c:pt idx="0">
                  <c:v>Basic</c:v>
                </c:pt>
                <c:pt idx="1">
                  <c:v>Premium</c:v>
                </c:pt>
                <c:pt idx="2">
                  <c:v>Standard</c:v>
                </c:pt>
              </c:strCache>
            </c:strRef>
          </c:cat>
          <c:val>
            <c:numRef>
              <c:f>tables!$B$8:$B$11</c:f>
              <c:numCache>
                <c:formatCode>General</c:formatCode>
                <c:ptCount val="3"/>
                <c:pt idx="0">
                  <c:v>0.43076923076923079</c:v>
                </c:pt>
                <c:pt idx="1">
                  <c:v>0.53197674418604646</c:v>
                </c:pt>
                <c:pt idx="2">
                  <c:v>0.50453172205438068</c:v>
                </c:pt>
              </c:numCache>
            </c:numRef>
          </c:val>
          <c:extLst>
            <c:ext xmlns:c16="http://schemas.microsoft.com/office/drawing/2014/chart" uri="{C3380CC4-5D6E-409C-BE32-E72D297353CC}">
              <c16:uniqueId val="{00000000-25AD-4B7C-8B86-E61FBE2A3E8F}"/>
            </c:ext>
          </c:extLst>
        </c:ser>
        <c:dLbls>
          <c:dLblPos val="ctr"/>
          <c:showLegendKey val="0"/>
          <c:showVal val="1"/>
          <c:showCatName val="0"/>
          <c:showSerName val="0"/>
          <c:showPercent val="0"/>
          <c:showBubbleSize val="0"/>
        </c:dLbls>
        <c:gapWidth val="150"/>
        <c:overlap val="100"/>
        <c:axId val="1540371359"/>
        <c:axId val="1540374719"/>
      </c:barChart>
      <c:catAx>
        <c:axId val="154037135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40374719"/>
        <c:crosses val="autoZero"/>
        <c:auto val="1"/>
        <c:lblAlgn val="ctr"/>
        <c:lblOffset val="100"/>
        <c:noMultiLvlLbl val="0"/>
      </c:catAx>
      <c:valAx>
        <c:axId val="154037471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crossAx val="1540371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[Business case study dashboard.xlsx]tables!PivotTable2</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200" b="1" i="0" u="none" strike="noStrike" baseline="0">
                <a:solidFill>
                  <a:srgbClr val="00B050"/>
                </a:solidFill>
              </a:rPr>
              <a:t>Churned vs Active</a:t>
            </a:r>
            <a:endParaRPr lang="en-IN" sz="1200">
              <a:solidFill>
                <a:srgbClr val="00B050"/>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5">
              <a:fgClr>
                <a:sysClr val="windowText" lastClr="000000">
                  <a:lumMod val="75000"/>
                  <a:lumOff val="25000"/>
                </a:sysClr>
              </a:fgClr>
              <a:bgClr>
                <a:srgbClr val="92D050"/>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6">
              <a:tint val="77000"/>
            </a:schemeClr>
          </a:solidFill>
          <a:ln>
            <a:noFill/>
          </a:ln>
          <a:effectLst>
            <a:outerShdw blurRad="254000" sx="102000" sy="102000" algn="ctr" rotWithShape="0">
              <a:prstClr val="black">
                <a:alpha val="20000"/>
              </a:prstClr>
            </a:outerShdw>
          </a:effectLst>
        </c:spPr>
      </c:pivotFmt>
      <c:pivotFmt>
        <c:idx val="6"/>
        <c:spPr>
          <a:solidFill>
            <a:schemeClr val="accent6">
              <a:shade val="76000"/>
            </a:schemeClr>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tables!$B$1</c:f>
              <c:strCache>
                <c:ptCount val="1"/>
                <c:pt idx="0">
                  <c:v>Total</c:v>
                </c:pt>
              </c:strCache>
            </c:strRef>
          </c:tx>
          <c:dPt>
            <c:idx val="0"/>
            <c:bubble3D val="0"/>
            <c:spPr>
              <a:solidFill>
                <a:schemeClr val="accent6">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080-4384-889F-587B8D040DA6}"/>
              </c:ext>
            </c:extLst>
          </c:dPt>
          <c:dPt>
            <c:idx val="1"/>
            <c:bubble3D val="0"/>
            <c:spPr>
              <a:solidFill>
                <a:schemeClr val="accent6">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080-4384-889F-587B8D040DA6}"/>
              </c:ext>
            </c:extLst>
          </c:dPt>
          <c:dLbls>
            <c:spPr>
              <a:pattFill prst="pct5">
                <a:fgClr>
                  <a:sysClr val="windowText" lastClr="000000">
                    <a:lumMod val="75000"/>
                    <a:lumOff val="25000"/>
                  </a:sysClr>
                </a:fgClr>
                <a:bgClr>
                  <a:srgbClr val="92D050"/>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tables!$A$2:$A$4</c:f>
              <c:strCache>
                <c:ptCount val="2"/>
                <c:pt idx="0">
                  <c:v>Active</c:v>
                </c:pt>
                <c:pt idx="1">
                  <c:v>Churned</c:v>
                </c:pt>
              </c:strCache>
            </c:strRef>
          </c:cat>
          <c:val>
            <c:numRef>
              <c:f>tables!$B$2:$B$4</c:f>
              <c:numCache>
                <c:formatCode>General</c:formatCode>
                <c:ptCount val="2"/>
                <c:pt idx="0">
                  <c:v>510</c:v>
                </c:pt>
                <c:pt idx="1">
                  <c:v>490</c:v>
                </c:pt>
              </c:numCache>
            </c:numRef>
          </c:val>
          <c:extLst>
            <c:ext xmlns:c16="http://schemas.microsoft.com/office/drawing/2014/chart" uri="{C3380CC4-5D6E-409C-BE32-E72D297353CC}">
              <c16:uniqueId val="{00000004-F080-4384-889F-587B8D040DA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167640</xdr:colOff>
      <xdr:row>9</xdr:row>
      <xdr:rowOff>60960</xdr:rowOff>
    </xdr:from>
    <xdr:to>
      <xdr:col>17</xdr:col>
      <xdr:colOff>137160</xdr:colOff>
      <xdr:row>24</xdr:row>
      <xdr:rowOff>60960</xdr:rowOff>
    </xdr:to>
    <xdr:graphicFrame macro="">
      <xdr:nvGraphicFramePr>
        <xdr:cNvPr id="2" name="line_chart">
          <a:extLst>
            <a:ext uri="{FF2B5EF4-FFF2-40B4-BE49-F238E27FC236}">
              <a16:creationId xmlns:a16="http://schemas.microsoft.com/office/drawing/2014/main" id="{7B734166-D75B-4AD6-B0C4-7D9FC01DB0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464820</xdr:colOff>
      <xdr:row>24</xdr:row>
      <xdr:rowOff>152400</xdr:rowOff>
    </xdr:from>
    <xdr:to>
      <xdr:col>17</xdr:col>
      <xdr:colOff>129540</xdr:colOff>
      <xdr:row>39</xdr:row>
      <xdr:rowOff>152400</xdr:rowOff>
    </xdr:to>
    <xdr:graphicFrame macro="">
      <xdr:nvGraphicFramePr>
        <xdr:cNvPr id="3" name="bar_chart">
          <a:extLst>
            <a:ext uri="{FF2B5EF4-FFF2-40B4-BE49-F238E27FC236}">
              <a16:creationId xmlns:a16="http://schemas.microsoft.com/office/drawing/2014/main" id="{7B8F94A6-63C7-4B5D-BBE8-9626482FF4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167640</xdr:colOff>
      <xdr:row>24</xdr:row>
      <xdr:rowOff>137160</xdr:rowOff>
    </xdr:from>
    <xdr:to>
      <xdr:col>10</xdr:col>
      <xdr:colOff>373380</xdr:colOff>
      <xdr:row>39</xdr:row>
      <xdr:rowOff>137160</xdr:rowOff>
    </xdr:to>
    <xdr:graphicFrame macro="">
      <xdr:nvGraphicFramePr>
        <xdr:cNvPr id="4" name="dunat_chart">
          <a:extLst>
            <a:ext uri="{FF2B5EF4-FFF2-40B4-BE49-F238E27FC236}">
              <a16:creationId xmlns:a16="http://schemas.microsoft.com/office/drawing/2014/main" id="{D25A86EB-80FF-4193-B89A-AFABB92347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17</xdr:col>
      <xdr:colOff>251460</xdr:colOff>
      <xdr:row>0</xdr:row>
      <xdr:rowOff>152401</xdr:rowOff>
    </xdr:from>
    <xdr:to>
      <xdr:col>20</xdr:col>
      <xdr:colOff>251460</xdr:colOff>
      <xdr:row>6</xdr:row>
      <xdr:rowOff>30481</xdr:rowOff>
    </xdr:to>
    <mc:AlternateContent xmlns:mc="http://schemas.openxmlformats.org/markup-compatibility/2006">
      <mc:Choice xmlns:a14="http://schemas.microsoft.com/office/drawing/2010/main" Requires="a14">
        <xdr:graphicFrame macro="">
          <xdr:nvGraphicFramePr>
            <xdr:cNvPr id="5" name="Gender">
              <a:extLst>
                <a:ext uri="{FF2B5EF4-FFF2-40B4-BE49-F238E27FC236}">
                  <a16:creationId xmlns:a16="http://schemas.microsoft.com/office/drawing/2014/main" id="{83BA3406-EB9B-3639-DC83-1B501D0F962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0579649" y="152401"/>
              <a:ext cx="1822622" cy="9901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160021</xdr:colOff>
      <xdr:row>0</xdr:row>
      <xdr:rowOff>137160</xdr:rowOff>
    </xdr:from>
    <xdr:ext cx="3169920" cy="1196340"/>
    <xdr:sp macro="" textlink="">
      <xdr:nvSpPr>
        <xdr:cNvPr id="6" name="TextBox 5">
          <a:extLst>
            <a:ext uri="{FF2B5EF4-FFF2-40B4-BE49-F238E27FC236}">
              <a16:creationId xmlns:a16="http://schemas.microsoft.com/office/drawing/2014/main" id="{FFF9B01D-C128-73B7-62BF-38302861741D}"/>
            </a:ext>
          </a:extLst>
        </xdr:cNvPr>
        <xdr:cNvSpPr txBox="1"/>
      </xdr:nvSpPr>
      <xdr:spPr>
        <a:xfrm>
          <a:off x="160021" y="137160"/>
          <a:ext cx="3169920" cy="1196340"/>
        </a:xfrm>
        <a:prstGeom prst="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wrap="square" rtlCol="0" anchor="ctr">
          <a:noAutofit/>
        </a:bodyPr>
        <a:lstStyle/>
        <a:p>
          <a:pPr algn="ctr"/>
          <a:r>
            <a:rPr lang="en-IN" sz="4000"/>
            <a:t>DASHBOARD</a:t>
          </a:r>
        </a:p>
      </xdr:txBody>
    </xdr:sp>
    <xdr:clientData/>
  </xdr:oneCellAnchor>
  <xdr:twoCellAnchor editAs="oneCell">
    <xdr:from>
      <xdr:col>5</xdr:col>
      <xdr:colOff>373380</xdr:colOff>
      <xdr:row>0</xdr:row>
      <xdr:rowOff>152400</xdr:rowOff>
    </xdr:from>
    <xdr:to>
      <xdr:col>17</xdr:col>
      <xdr:colOff>144780</xdr:colOff>
      <xdr:row>8</xdr:row>
      <xdr:rowOff>144780</xdr:rowOff>
    </xdr:to>
    <mc:AlternateContent xmlns:mc="http://schemas.openxmlformats.org/markup-compatibility/2006">
      <mc:Choice xmlns:tsle="http://schemas.microsoft.com/office/drawing/2012/timeslicer" Requires="tsle">
        <xdr:graphicFrame macro="">
          <xdr:nvGraphicFramePr>
            <xdr:cNvPr id="7" name="Days Since Last Login">
              <a:extLst>
                <a:ext uri="{FF2B5EF4-FFF2-40B4-BE49-F238E27FC236}">
                  <a16:creationId xmlns:a16="http://schemas.microsoft.com/office/drawing/2014/main" id="{FAE20DC5-8B63-AF05-C2C4-FF3B4940E248}"/>
                </a:ext>
              </a:extLst>
            </xdr:cNvPr>
            <xdr:cNvGraphicFramePr/>
          </xdr:nvGraphicFramePr>
          <xdr:xfrm>
            <a:off x="0" y="0"/>
            <a:ext cx="0" cy="0"/>
          </xdr:xfrm>
          <a:graphic>
            <a:graphicData uri="http://schemas.microsoft.com/office/drawing/2012/timeslicer">
              <tsle:timeslicer xmlns:tsle="http://schemas.microsoft.com/office/drawing/2012/timeslicer" name="Days Since Last Login"/>
            </a:graphicData>
          </a:graphic>
        </xdr:graphicFrame>
      </mc:Choice>
      <mc:Fallback>
        <xdr:sp macro="" textlink="">
          <xdr:nvSpPr>
            <xdr:cNvPr id="0" name=""/>
            <xdr:cNvSpPr>
              <a:spLocks noTextEdit="1"/>
            </xdr:cNvSpPr>
          </xdr:nvSpPr>
          <xdr:spPr>
            <a:xfrm>
              <a:off x="3411083" y="152400"/>
              <a:ext cx="7061886" cy="147519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129540</xdr:colOff>
      <xdr:row>9</xdr:row>
      <xdr:rowOff>38100</xdr:rowOff>
    </xdr:from>
    <xdr:to>
      <xdr:col>4</xdr:col>
      <xdr:colOff>91440</xdr:colOff>
      <xdr:row>16</xdr:row>
      <xdr:rowOff>0</xdr:rowOff>
    </xdr:to>
    <xdr:sp macro="" textlink="">
      <xdr:nvSpPr>
        <xdr:cNvPr id="8" name="Rectangle: Rounded Corners 7">
          <a:extLst>
            <a:ext uri="{FF2B5EF4-FFF2-40B4-BE49-F238E27FC236}">
              <a16:creationId xmlns:a16="http://schemas.microsoft.com/office/drawing/2014/main" id="{D8492545-0218-B13B-BCA5-C033A78E3A06}"/>
            </a:ext>
          </a:extLst>
        </xdr:cNvPr>
        <xdr:cNvSpPr/>
      </xdr:nvSpPr>
      <xdr:spPr>
        <a:xfrm>
          <a:off x="129540" y="1684020"/>
          <a:ext cx="2400300" cy="1242060"/>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ctr"/>
          <a:r>
            <a:rPr lang="en-IN" sz="1600"/>
            <a:t>Total Customers</a:t>
          </a:r>
          <a:br>
            <a:rPr lang="en-IN" sz="1600"/>
          </a:br>
          <a:br>
            <a:rPr lang="en-IN" sz="1600"/>
          </a:br>
          <a:r>
            <a:rPr lang="en-IN" sz="1600"/>
            <a:t>= </a:t>
          </a:r>
          <a:r>
            <a:rPr lang="en-IN" sz="1600" b="0" i="0" u="none" strike="noStrike">
              <a:solidFill>
                <a:schemeClr val="dk1"/>
              </a:solidFill>
              <a:effectLst/>
              <a:latin typeface="+mn-lt"/>
              <a:ea typeface="+mn-ea"/>
              <a:cs typeface="+mn-cs"/>
            </a:rPr>
            <a:t>999</a:t>
          </a:r>
          <a:r>
            <a:rPr lang="en-IN" sz="1600">
              <a:effectLst/>
            </a:rPr>
            <a:t> </a:t>
          </a:r>
          <a:endParaRPr lang="en-IN" sz="1600"/>
        </a:p>
      </xdr:txBody>
    </xdr:sp>
    <xdr:clientData/>
  </xdr:twoCellAnchor>
  <xdr:twoCellAnchor>
    <xdr:from>
      <xdr:col>0</xdr:col>
      <xdr:colOff>114300</xdr:colOff>
      <xdr:row>16</xdr:row>
      <xdr:rowOff>99060</xdr:rowOff>
    </xdr:from>
    <xdr:to>
      <xdr:col>4</xdr:col>
      <xdr:colOff>76200</xdr:colOff>
      <xdr:row>23</xdr:row>
      <xdr:rowOff>60960</xdr:rowOff>
    </xdr:to>
    <xdr:sp macro="" textlink="">
      <xdr:nvSpPr>
        <xdr:cNvPr id="9" name="Rectangle: Rounded Corners 8">
          <a:extLst>
            <a:ext uri="{FF2B5EF4-FFF2-40B4-BE49-F238E27FC236}">
              <a16:creationId xmlns:a16="http://schemas.microsoft.com/office/drawing/2014/main" id="{3A9F0076-8947-4DB6-AE36-E82DDF81AB3C}"/>
            </a:ext>
          </a:extLst>
        </xdr:cNvPr>
        <xdr:cNvSpPr/>
      </xdr:nvSpPr>
      <xdr:spPr>
        <a:xfrm>
          <a:off x="114300" y="3025140"/>
          <a:ext cx="2400300" cy="1242060"/>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ctr"/>
          <a:r>
            <a:rPr lang="en-IN" sz="1600"/>
            <a:t>% Churned</a:t>
          </a:r>
          <a:br>
            <a:rPr lang="en-IN" sz="1600"/>
          </a:br>
          <a:br>
            <a:rPr lang="en-IN" sz="1600"/>
          </a:br>
          <a:r>
            <a:rPr lang="en-IN" sz="1600"/>
            <a:t>= </a:t>
          </a:r>
          <a:r>
            <a:rPr lang="en-IN" sz="1600" b="0" i="0" u="none" strike="noStrike">
              <a:solidFill>
                <a:schemeClr val="dk1"/>
              </a:solidFill>
              <a:effectLst/>
              <a:latin typeface="+mn-lt"/>
              <a:ea typeface="+mn-ea"/>
              <a:cs typeface="+mn-cs"/>
            </a:rPr>
            <a:t>49%</a:t>
          </a:r>
          <a:r>
            <a:rPr lang="en-IN" sz="1600">
              <a:effectLst/>
            </a:rPr>
            <a:t> </a:t>
          </a:r>
          <a:endParaRPr lang="en-IN" sz="1600"/>
        </a:p>
      </xdr:txBody>
    </xdr:sp>
    <xdr:clientData/>
  </xdr:twoCellAnchor>
  <xdr:twoCellAnchor>
    <xdr:from>
      <xdr:col>0</xdr:col>
      <xdr:colOff>106680</xdr:colOff>
      <xdr:row>24</xdr:row>
      <xdr:rowOff>7620</xdr:rowOff>
    </xdr:from>
    <xdr:to>
      <xdr:col>4</xdr:col>
      <xdr:colOff>68580</xdr:colOff>
      <xdr:row>30</xdr:row>
      <xdr:rowOff>152400</xdr:rowOff>
    </xdr:to>
    <xdr:sp macro="" textlink="">
      <xdr:nvSpPr>
        <xdr:cNvPr id="10" name="Rectangle: Rounded Corners 9">
          <a:extLst>
            <a:ext uri="{FF2B5EF4-FFF2-40B4-BE49-F238E27FC236}">
              <a16:creationId xmlns:a16="http://schemas.microsoft.com/office/drawing/2014/main" id="{3449C604-F1B2-446C-A260-E3270F7A0535}"/>
            </a:ext>
          </a:extLst>
        </xdr:cNvPr>
        <xdr:cNvSpPr/>
      </xdr:nvSpPr>
      <xdr:spPr>
        <a:xfrm>
          <a:off x="106680" y="4396740"/>
          <a:ext cx="2400300" cy="1242060"/>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ctr"/>
          <a:r>
            <a:rPr lang="en-IN" sz="1600"/>
            <a:t>Avg Feedback Score</a:t>
          </a:r>
          <a:br>
            <a:rPr lang="en-IN" sz="1600"/>
          </a:br>
          <a:endParaRPr lang="en-IN" sz="1600"/>
        </a:p>
        <a:p>
          <a:pPr algn="ctr"/>
          <a:r>
            <a:rPr lang="en-IN" sz="1600" b="0" i="0" u="none" strike="noStrike">
              <a:solidFill>
                <a:schemeClr val="dk1"/>
              </a:solidFill>
              <a:effectLst/>
              <a:latin typeface="+mn-lt"/>
              <a:ea typeface="+mn-ea"/>
              <a:cs typeface="+mn-cs"/>
            </a:rPr>
            <a:t>= 299%</a:t>
          </a:r>
          <a:r>
            <a:rPr lang="en-IN" sz="1600">
              <a:effectLst/>
            </a:rPr>
            <a:t> </a:t>
          </a:r>
          <a:r>
            <a:rPr lang="en-IN" sz="1600" baseline="0"/>
            <a:t> </a:t>
          </a:r>
          <a:endParaRPr lang="en-IN" sz="1600"/>
        </a:p>
      </xdr:txBody>
    </xdr:sp>
    <xdr:clientData/>
  </xdr:twoCellAnchor>
  <xdr:twoCellAnchor>
    <xdr:from>
      <xdr:col>0</xdr:col>
      <xdr:colOff>99060</xdr:colOff>
      <xdr:row>31</xdr:row>
      <xdr:rowOff>91440</xdr:rowOff>
    </xdr:from>
    <xdr:to>
      <xdr:col>4</xdr:col>
      <xdr:colOff>60960</xdr:colOff>
      <xdr:row>38</xdr:row>
      <xdr:rowOff>53340</xdr:rowOff>
    </xdr:to>
    <xdr:sp macro="" textlink="">
      <xdr:nvSpPr>
        <xdr:cNvPr id="11" name="Rectangle: Rounded Corners 10">
          <a:extLst>
            <a:ext uri="{FF2B5EF4-FFF2-40B4-BE49-F238E27FC236}">
              <a16:creationId xmlns:a16="http://schemas.microsoft.com/office/drawing/2014/main" id="{98BABE1E-C8B9-4F64-A60A-C2F96F92EDBE}"/>
            </a:ext>
          </a:extLst>
        </xdr:cNvPr>
        <xdr:cNvSpPr/>
      </xdr:nvSpPr>
      <xdr:spPr>
        <a:xfrm>
          <a:off x="99060" y="5760720"/>
          <a:ext cx="2400300" cy="1242060"/>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ctr"/>
          <a:r>
            <a:rPr lang="en-IN" sz="1600"/>
            <a:t>Avg Days Since Last Login</a:t>
          </a:r>
          <a:br>
            <a:rPr lang="en-IN" sz="1600"/>
          </a:br>
          <a:endParaRPr lang="en-IN" sz="1600"/>
        </a:p>
        <a:p>
          <a:pPr algn="ctr"/>
          <a:r>
            <a:rPr lang="en-IN" sz="1600"/>
            <a:t> </a:t>
          </a:r>
          <a:r>
            <a:rPr lang="en-IN" sz="1600" b="0" i="0" u="none" strike="noStrike">
              <a:solidFill>
                <a:schemeClr val="dk1"/>
              </a:solidFill>
              <a:effectLst/>
              <a:latin typeface="+mn-lt"/>
              <a:ea typeface="+mn-ea"/>
              <a:cs typeface="+mn-cs"/>
            </a:rPr>
            <a:t>10-04-1902</a:t>
          </a:r>
          <a:r>
            <a:rPr lang="en-IN" sz="1600">
              <a:effectLst/>
            </a:rPr>
            <a:t> </a:t>
          </a:r>
          <a:endParaRPr lang="en-IN" sz="1600"/>
        </a:p>
      </xdr:txBody>
    </xdr:sp>
    <xdr:clientData/>
  </xdr:twoCellAnchor>
  <xdr:twoCellAnchor editAs="oneCell">
    <xdr:from>
      <xdr:col>17</xdr:col>
      <xdr:colOff>259080</xdr:colOff>
      <xdr:row>6</xdr:row>
      <xdr:rowOff>121921</xdr:rowOff>
    </xdr:from>
    <xdr:to>
      <xdr:col>20</xdr:col>
      <xdr:colOff>243840</xdr:colOff>
      <xdr:row>14</xdr:row>
      <xdr:rowOff>22861</xdr:rowOff>
    </xdr:to>
    <mc:AlternateContent xmlns:mc="http://schemas.openxmlformats.org/markup-compatibility/2006">
      <mc:Choice xmlns:a14="http://schemas.microsoft.com/office/drawing/2010/main" Requires="a14">
        <xdr:graphicFrame macro="">
          <xdr:nvGraphicFramePr>
            <xdr:cNvPr id="12" name="SubscriptionType">
              <a:extLst>
                <a:ext uri="{FF2B5EF4-FFF2-40B4-BE49-F238E27FC236}">
                  <a16:creationId xmlns:a16="http://schemas.microsoft.com/office/drawing/2014/main" id="{AB4D3586-40F7-E6FA-0763-8C7298DED007}"/>
                </a:ext>
              </a:extLst>
            </xdr:cNvPr>
            <xdr:cNvGraphicFramePr/>
          </xdr:nvGraphicFramePr>
          <xdr:xfrm>
            <a:off x="0" y="0"/>
            <a:ext cx="0" cy="0"/>
          </xdr:xfrm>
          <a:graphic>
            <a:graphicData uri="http://schemas.microsoft.com/office/drawing/2010/slicer">
              <sle:slicer xmlns:sle="http://schemas.microsoft.com/office/drawing/2010/slicer" name="SubscriptionType"/>
            </a:graphicData>
          </a:graphic>
        </xdr:graphicFrame>
      </mc:Choice>
      <mc:Fallback>
        <xdr:sp macro="" textlink="">
          <xdr:nvSpPr>
            <xdr:cNvPr id="0" name=""/>
            <xdr:cNvSpPr>
              <a:spLocks noTextEdit="1"/>
            </xdr:cNvSpPr>
          </xdr:nvSpPr>
          <xdr:spPr>
            <a:xfrm>
              <a:off x="10587269" y="1234029"/>
              <a:ext cx="1807382" cy="13837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243840</xdr:colOff>
      <xdr:row>14</xdr:row>
      <xdr:rowOff>137161</xdr:rowOff>
    </xdr:from>
    <xdr:to>
      <xdr:col>20</xdr:col>
      <xdr:colOff>243840</xdr:colOff>
      <xdr:row>20</xdr:row>
      <xdr:rowOff>99061</xdr:rowOff>
    </xdr:to>
    <mc:AlternateContent xmlns:mc="http://schemas.openxmlformats.org/markup-compatibility/2006">
      <mc:Choice xmlns:a14="http://schemas.microsoft.com/office/drawing/2010/main" Requires="a14">
        <xdr:graphicFrame macro="">
          <xdr:nvGraphicFramePr>
            <xdr:cNvPr id="13" name="Status">
              <a:extLst>
                <a:ext uri="{FF2B5EF4-FFF2-40B4-BE49-F238E27FC236}">
                  <a16:creationId xmlns:a16="http://schemas.microsoft.com/office/drawing/2014/main" id="{A0ED16C4-33AF-026F-C3A5-C4E2F2436A5B}"/>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10572029" y="2732080"/>
              <a:ext cx="1822622" cy="10740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236220</xdr:colOff>
      <xdr:row>21</xdr:row>
      <xdr:rowOff>15240</xdr:rowOff>
    </xdr:from>
    <xdr:to>
      <xdr:col>20</xdr:col>
      <xdr:colOff>236220</xdr:colOff>
      <xdr:row>39</xdr:row>
      <xdr:rowOff>163286</xdr:rowOff>
    </xdr:to>
    <mc:AlternateContent xmlns:mc="http://schemas.openxmlformats.org/markup-compatibility/2006">
      <mc:Choice xmlns:a14="http://schemas.microsoft.com/office/drawing/2010/main" Requires="a14">
        <xdr:graphicFrame macro="">
          <xdr:nvGraphicFramePr>
            <xdr:cNvPr id="14" name="Age">
              <a:extLst>
                <a:ext uri="{FF2B5EF4-FFF2-40B4-BE49-F238E27FC236}">
                  <a16:creationId xmlns:a16="http://schemas.microsoft.com/office/drawing/2014/main" id="{DD0C0F61-548D-5D5B-E9E6-14A3CD5DBEAF}"/>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dr:sp macro="" textlink="">
          <xdr:nvSpPr>
            <xdr:cNvPr id="0" name=""/>
            <xdr:cNvSpPr>
              <a:spLocks noTextEdit="1"/>
            </xdr:cNvSpPr>
          </xdr:nvSpPr>
          <xdr:spPr>
            <a:xfrm>
              <a:off x="10564409" y="3907618"/>
              <a:ext cx="1822622" cy="34843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NKI DHOLARIYA" refreshedDate="46043.906237847223" createdVersion="8" refreshedVersion="8" minRefreshableVersion="3" recordCount="1000" xr:uid="{F9891DB9-644B-4C0B-A31C-4B14FBFAEF8E}">
  <cacheSource type="worksheet">
    <worksheetSource name="customer"/>
  </cacheSource>
  <cacheFields count="13">
    <cacheField name="CustomerID" numFmtId="0">
      <sharedItems containsSemiMixedTypes="0" containsString="0" containsNumber="1" containsInteger="1" minValue="1" maxValue="1000"/>
    </cacheField>
    <cacheField name="Name" numFmtId="0">
      <sharedItems count="1000">
        <s v="Customer1"/>
        <s v="Customer2"/>
        <s v="Customer3"/>
        <s v="Customer4"/>
        <s v="Customer5"/>
        <s v="Customer6"/>
        <s v="Customer7"/>
        <s v="Customer8"/>
        <s v="Customer9"/>
        <s v="Customer10"/>
        <s v="Customer11"/>
        <s v="Customer12"/>
        <s v="Customer13"/>
        <s v="Customer14"/>
        <s v="Customer15"/>
        <s v="Customer16"/>
        <s v="Customer17"/>
        <s v="Customer18"/>
        <s v="Customer19"/>
        <s v="Customer20"/>
        <s v="Customer21"/>
        <s v="Customer22"/>
        <s v="Customer23"/>
        <s v="Customer24"/>
        <s v="Customer25"/>
        <s v="Customer26"/>
        <s v="Customer27"/>
        <s v="Customer28"/>
        <s v="Customer29"/>
        <s v="Customer30"/>
        <s v="Customer31"/>
        <s v="Customer32"/>
        <s v="Customer33"/>
        <s v="Customer34"/>
        <s v="Customer35"/>
        <s v="Customer36"/>
        <s v="Customer37"/>
        <s v="Customer38"/>
        <s v="Customer39"/>
        <s v="Customer40"/>
        <s v="Customer41"/>
        <s v="Customer42"/>
        <s v="Customer43"/>
        <s v="Customer44"/>
        <s v="Customer45"/>
        <s v="Customer46"/>
        <s v="Customer47"/>
        <s v="Customer48"/>
        <s v="Customer49"/>
        <s v="Customer50"/>
        <s v="Customer51"/>
        <s v="Customer52"/>
        <s v="Customer53"/>
        <s v="Customer54"/>
        <s v="Customer55"/>
        <s v="Customer56"/>
        <s v="Customer57"/>
        <s v="Customer58"/>
        <s v="Customer59"/>
        <s v="Customer60"/>
        <s v="Customer61"/>
        <s v="Customer62"/>
        <s v="Customer63"/>
        <s v="Customer64"/>
        <s v="Customer65"/>
        <s v="Customer66"/>
        <s v="Customer67"/>
        <s v="Customer68"/>
        <s v="Customer69"/>
        <s v="Customer70"/>
        <s v="Customer71"/>
        <s v="Customer72"/>
        <s v="Customer73"/>
        <s v="Customer74"/>
        <s v="Customer75"/>
        <s v="Customer76"/>
        <s v="Customer77"/>
        <s v="Customer78"/>
        <s v="Customer79"/>
        <s v="Customer80"/>
        <s v="Customer81"/>
        <s v="Customer82"/>
        <s v="Customer83"/>
        <s v="Customer84"/>
        <s v="Customer85"/>
        <s v="Customer86"/>
        <s v="Customer87"/>
        <s v="Customer88"/>
        <s v="Customer89"/>
        <s v="Customer90"/>
        <s v="Customer91"/>
        <s v="Customer92"/>
        <s v="Customer93"/>
        <s v="Customer94"/>
        <s v="Customer95"/>
        <s v="Customer96"/>
        <s v="Customer97"/>
        <s v="Customer98"/>
        <s v="Customer99"/>
        <s v="Customer100"/>
        <s v="Customer101"/>
        <s v="Customer102"/>
        <s v="Customer103"/>
        <s v="Customer104"/>
        <s v="Customer105"/>
        <s v="Customer106"/>
        <s v="Customer107"/>
        <s v="Customer108"/>
        <s v="Customer109"/>
        <s v="Customer110"/>
        <s v="Customer111"/>
        <s v="Customer112"/>
        <s v="Customer113"/>
        <s v="Customer114"/>
        <s v="Customer115"/>
        <s v="Customer116"/>
        <s v="Customer117"/>
        <s v="Customer118"/>
        <s v="Customer119"/>
        <s v="Customer120"/>
        <s v="Customer121"/>
        <s v="Customer122"/>
        <s v="Customer123"/>
        <s v="Customer124"/>
        <s v="Customer125"/>
        <s v="Customer126"/>
        <s v="Customer127"/>
        <s v="Customer128"/>
        <s v="Customer129"/>
        <s v="Customer130"/>
        <s v="Customer131"/>
        <s v="Customer132"/>
        <s v="Customer133"/>
        <s v="Customer134"/>
        <s v="Customer135"/>
        <s v="Customer136"/>
        <s v="Customer137"/>
        <s v="Customer138"/>
        <s v="Customer139"/>
        <s v="Customer140"/>
        <s v="Customer141"/>
        <s v="Customer142"/>
        <s v="Customer143"/>
        <s v="Customer144"/>
        <s v="Customer145"/>
        <s v="Customer146"/>
        <s v="Customer147"/>
        <s v="Customer148"/>
        <s v="Customer149"/>
        <s v="Customer150"/>
        <s v="Customer151"/>
        <s v="Customer152"/>
        <s v="Customer153"/>
        <s v="Customer154"/>
        <s v="Customer155"/>
        <s v="Customer156"/>
        <s v="Customer157"/>
        <s v="Customer158"/>
        <s v="Customer159"/>
        <s v="Customer160"/>
        <s v="Customer161"/>
        <s v="Customer162"/>
        <s v="Customer163"/>
        <s v="Customer164"/>
        <s v="Customer165"/>
        <s v="Customer166"/>
        <s v="Customer167"/>
        <s v="Customer168"/>
        <s v="Customer169"/>
        <s v="Customer170"/>
        <s v="Customer171"/>
        <s v="Customer172"/>
        <s v="Customer173"/>
        <s v="Customer174"/>
        <s v="Customer175"/>
        <s v="Customer176"/>
        <s v="Customer177"/>
        <s v="Customer178"/>
        <s v="Customer179"/>
        <s v="Customer180"/>
        <s v="Customer181"/>
        <s v="Customer182"/>
        <s v="Customer183"/>
        <s v="Customer184"/>
        <s v="Customer185"/>
        <s v="Customer186"/>
        <s v="Customer187"/>
        <s v="Customer188"/>
        <s v="Customer189"/>
        <s v="Customer190"/>
        <s v="Customer191"/>
        <s v="Customer192"/>
        <s v="Customer193"/>
        <s v="Customer194"/>
        <s v="Customer195"/>
        <s v="Customer196"/>
        <s v="Customer197"/>
        <s v="Customer198"/>
        <s v="Customer199"/>
        <s v="Customer200"/>
        <s v="Customer201"/>
        <s v="Customer202"/>
        <s v="Customer203"/>
        <s v="Customer204"/>
        <s v="Customer205"/>
        <s v="Customer206"/>
        <s v="Customer207"/>
        <s v="Customer208"/>
        <s v="Customer209"/>
        <s v="Customer210"/>
        <s v="Customer211"/>
        <s v="Customer212"/>
        <s v="Customer213"/>
        <s v="Customer214"/>
        <s v="Customer215"/>
        <s v="Customer216"/>
        <s v="Customer217"/>
        <s v="Customer218"/>
        <s v="Customer219"/>
        <s v="Customer220"/>
        <s v="Customer221"/>
        <s v="Customer222"/>
        <s v="Customer223"/>
        <s v="Customer224"/>
        <s v="Customer225"/>
        <s v="Customer226"/>
        <s v="Customer227"/>
        <s v="Customer228"/>
        <s v="Customer229"/>
        <s v="Customer230"/>
        <s v="Customer231"/>
        <s v="Customer232"/>
        <s v="Customer233"/>
        <s v="Customer234"/>
        <s v="Customer235"/>
        <s v="Customer236"/>
        <s v="Customer237"/>
        <s v="Customer238"/>
        <s v="Customer239"/>
        <s v="Customer240"/>
        <s v="Customer241"/>
        <s v="Customer242"/>
        <s v="Customer243"/>
        <s v="Customer244"/>
        <s v="Customer245"/>
        <s v="Customer246"/>
        <s v="Customer247"/>
        <s v="Customer248"/>
        <s v="Customer249"/>
        <s v="Customer250"/>
        <s v="Customer251"/>
        <s v="Customer252"/>
        <s v="Customer253"/>
        <s v="Customer254"/>
        <s v="Customer255"/>
        <s v="Customer256"/>
        <s v="Customer257"/>
        <s v="Customer258"/>
        <s v="Customer259"/>
        <s v="Customer260"/>
        <s v="Customer261"/>
        <s v="Customer262"/>
        <s v="Customer263"/>
        <s v="Customer264"/>
        <s v="Customer265"/>
        <s v="Customer266"/>
        <s v="Customer267"/>
        <s v="Customer268"/>
        <s v="Customer269"/>
        <s v="Customer270"/>
        <s v="Customer271"/>
        <s v="Customer272"/>
        <s v="Customer273"/>
        <s v="Customer274"/>
        <s v="Customer275"/>
        <s v="Customer276"/>
        <s v="Customer277"/>
        <s v="Customer278"/>
        <s v="Customer279"/>
        <s v="Customer280"/>
        <s v="Customer281"/>
        <s v="Customer282"/>
        <s v="Customer283"/>
        <s v="Customer284"/>
        <s v="Customer285"/>
        <s v="Customer286"/>
        <s v="Customer287"/>
        <s v="Customer288"/>
        <s v="Customer289"/>
        <s v="Customer290"/>
        <s v="Customer291"/>
        <s v="Customer292"/>
        <s v="Customer293"/>
        <s v="Customer294"/>
        <s v="Customer295"/>
        <s v="Customer296"/>
        <s v="Customer297"/>
        <s v="Customer298"/>
        <s v="Customer299"/>
        <s v="Customer300"/>
        <s v="Customer301"/>
        <s v="Customer302"/>
        <s v="Customer303"/>
        <s v="Customer304"/>
        <s v="Customer305"/>
        <s v="Customer306"/>
        <s v="Customer307"/>
        <s v="Customer308"/>
        <s v="Customer309"/>
        <s v="Customer310"/>
        <s v="Customer311"/>
        <s v="Customer312"/>
        <s v="Customer313"/>
        <s v="Customer314"/>
        <s v="Customer315"/>
        <s v="Customer316"/>
        <s v="Customer317"/>
        <s v="Customer318"/>
        <s v="Customer319"/>
        <s v="Customer320"/>
        <s v="Customer321"/>
        <s v="Customer322"/>
        <s v="Customer323"/>
        <s v="Customer324"/>
        <s v="Customer325"/>
        <s v="Customer326"/>
        <s v="Customer327"/>
        <s v="Customer328"/>
        <s v="Customer329"/>
        <s v="Customer330"/>
        <s v="Customer331"/>
        <s v="Customer332"/>
        <s v="Customer333"/>
        <s v="Customer334"/>
        <s v="Customer335"/>
        <s v="Customer336"/>
        <s v="Customer337"/>
        <s v="Customer338"/>
        <s v="Customer339"/>
        <s v="Customer340"/>
        <s v="Customer341"/>
        <s v="Customer342"/>
        <s v="Customer343"/>
        <s v="Customer344"/>
        <s v="Customer345"/>
        <s v="Customer346"/>
        <s v="Customer347"/>
        <s v="Customer348"/>
        <s v="Customer349"/>
        <s v="Customer350"/>
        <s v="Customer351"/>
        <s v="Customer352"/>
        <s v="Customer353"/>
        <s v="Customer354"/>
        <s v="Customer355"/>
        <s v="Customer356"/>
        <s v="Customer357"/>
        <s v="Customer358"/>
        <s v="Customer359"/>
        <s v="Customer360"/>
        <s v="Customer361"/>
        <s v="Customer362"/>
        <s v="Customer363"/>
        <s v="Customer364"/>
        <s v="Customer365"/>
        <s v="Customer366"/>
        <s v="Customer367"/>
        <s v="Customer368"/>
        <s v="Customer369"/>
        <s v="Customer370"/>
        <s v="Customer371"/>
        <s v="Customer372"/>
        <s v="Customer373"/>
        <s v="Customer374"/>
        <s v="Customer375"/>
        <s v="Customer376"/>
        <s v="Customer377"/>
        <s v="Customer378"/>
        <s v="Customer379"/>
        <s v="Customer380"/>
        <s v="Customer381"/>
        <s v="Customer382"/>
        <s v="Customer383"/>
        <s v="Customer384"/>
        <s v="Customer385"/>
        <s v="Customer386"/>
        <s v="Customer387"/>
        <s v="Customer388"/>
        <s v="Customer389"/>
        <s v="Customer390"/>
        <s v="Customer391"/>
        <s v="Customer392"/>
        <s v="Customer393"/>
        <s v="Customer394"/>
        <s v="Customer395"/>
        <s v="Customer396"/>
        <s v="Customer397"/>
        <s v="Customer398"/>
        <s v="Customer399"/>
        <s v="Customer400"/>
        <s v="Customer401"/>
        <s v="Customer402"/>
        <s v="Customer403"/>
        <s v="Customer404"/>
        <s v="Customer405"/>
        <s v="Customer406"/>
        <s v="Customer407"/>
        <s v="Customer408"/>
        <s v="Customer409"/>
        <s v="Customer410"/>
        <s v="Customer411"/>
        <s v="Customer412"/>
        <s v="Customer413"/>
        <s v="Customer414"/>
        <s v="Customer415"/>
        <s v="Customer416"/>
        <s v="Customer417"/>
        <s v="Customer418"/>
        <s v="Customer419"/>
        <s v="Customer420"/>
        <s v="Customer421"/>
        <s v="Customer422"/>
        <s v="Customer423"/>
        <s v="Customer424"/>
        <s v="Customer425"/>
        <s v="Customer426"/>
        <s v="Customer427"/>
        <s v="Customer428"/>
        <s v="Customer429"/>
        <s v="Customer430"/>
        <s v="Customer431"/>
        <s v="Customer432"/>
        <s v="Customer433"/>
        <s v="Customer434"/>
        <s v="Customer435"/>
        <s v="Customer436"/>
        <s v="Customer437"/>
        <s v="Customer438"/>
        <s v="Customer439"/>
        <s v="Customer440"/>
        <s v="Customer441"/>
        <s v="Customer442"/>
        <s v="Customer443"/>
        <s v="Customer444"/>
        <s v="Customer445"/>
        <s v="Customer446"/>
        <s v="Customer447"/>
        <s v="Customer448"/>
        <s v="Customer449"/>
        <s v="Customer450"/>
        <s v="Customer451"/>
        <s v="Customer452"/>
        <s v="Customer453"/>
        <s v="Customer454"/>
        <s v="Customer455"/>
        <s v="Customer456"/>
        <s v="Customer457"/>
        <s v="Customer458"/>
        <s v="Customer459"/>
        <s v="Customer460"/>
        <s v="Customer461"/>
        <s v="Customer462"/>
        <s v="Customer463"/>
        <s v="Customer464"/>
        <s v="Customer465"/>
        <s v="Customer466"/>
        <s v="Customer467"/>
        <s v="Customer468"/>
        <s v="Customer469"/>
        <s v="Customer470"/>
        <s v="Customer471"/>
        <s v="Customer472"/>
        <s v="Customer473"/>
        <s v="Customer474"/>
        <s v="Customer475"/>
        <s v="Customer476"/>
        <s v="Customer477"/>
        <s v="Customer478"/>
        <s v="Customer479"/>
        <s v="Customer480"/>
        <s v="Customer481"/>
        <s v="Customer482"/>
        <s v="Customer483"/>
        <s v="Customer484"/>
        <s v="Customer485"/>
        <s v="Customer486"/>
        <s v="Customer487"/>
        <s v="Customer488"/>
        <s v="Customer489"/>
        <s v="Customer490"/>
        <s v="Customer491"/>
        <s v="Customer492"/>
        <s v="Customer493"/>
        <s v="Customer494"/>
        <s v="Customer495"/>
        <s v="Customer496"/>
        <s v="Customer497"/>
        <s v="Customer498"/>
        <s v="Customer499"/>
        <s v="Customer500"/>
        <s v="Customer501"/>
        <s v="Customer502"/>
        <s v="Customer503"/>
        <s v="Customer504"/>
        <s v="Customer505"/>
        <s v="Customer506"/>
        <s v="Customer507"/>
        <s v="Customer508"/>
        <s v="Customer509"/>
        <s v="Customer510"/>
        <s v="Customer511"/>
        <s v="Customer512"/>
        <s v="Customer513"/>
        <s v="Customer514"/>
        <s v="Customer515"/>
        <s v="Customer516"/>
        <s v="Customer517"/>
        <s v="Customer518"/>
        <s v="Customer519"/>
        <s v="Customer520"/>
        <s v="Customer521"/>
        <s v="Customer522"/>
        <s v="Customer523"/>
        <s v="Customer524"/>
        <s v="Customer525"/>
        <s v="Customer526"/>
        <s v="Customer527"/>
        <s v="Customer528"/>
        <s v="Customer529"/>
        <s v="Customer530"/>
        <s v="Customer531"/>
        <s v="Customer532"/>
        <s v="Customer533"/>
        <s v="Customer534"/>
        <s v="Customer535"/>
        <s v="Customer536"/>
        <s v="Customer537"/>
        <s v="Customer538"/>
        <s v="Customer539"/>
        <s v="Customer540"/>
        <s v="Customer541"/>
        <s v="Customer542"/>
        <s v="Customer543"/>
        <s v="Customer544"/>
        <s v="Customer545"/>
        <s v="Customer546"/>
        <s v="Customer547"/>
        <s v="Customer548"/>
        <s v="Customer549"/>
        <s v="Customer550"/>
        <s v="Customer551"/>
        <s v="Customer552"/>
        <s v="Customer553"/>
        <s v="Customer554"/>
        <s v="Customer555"/>
        <s v="Customer556"/>
        <s v="Customer557"/>
        <s v="Customer558"/>
        <s v="Customer559"/>
        <s v="Customer560"/>
        <s v="Customer561"/>
        <s v="Customer562"/>
        <s v="Customer563"/>
        <s v="Customer564"/>
        <s v="Customer565"/>
        <s v="Customer566"/>
        <s v="Customer567"/>
        <s v="Customer568"/>
        <s v="Customer569"/>
        <s v="Customer570"/>
        <s v="Customer571"/>
        <s v="Customer572"/>
        <s v="Customer573"/>
        <s v="Customer574"/>
        <s v="Customer575"/>
        <s v="Customer576"/>
        <s v="Customer577"/>
        <s v="Customer578"/>
        <s v="Customer579"/>
        <s v="Customer580"/>
        <s v="Customer581"/>
        <s v="Customer582"/>
        <s v="Customer583"/>
        <s v="Customer584"/>
        <s v="Customer585"/>
        <s v="Customer586"/>
        <s v="Customer587"/>
        <s v="Customer588"/>
        <s v="Customer589"/>
        <s v="Customer590"/>
        <s v="Customer591"/>
        <s v="Customer592"/>
        <s v="Customer593"/>
        <s v="Customer594"/>
        <s v="Customer595"/>
        <s v="Customer596"/>
        <s v="Customer597"/>
        <s v="Customer598"/>
        <s v="Customer599"/>
        <s v="Customer600"/>
        <s v="Customer601"/>
        <s v="Customer602"/>
        <s v="Customer603"/>
        <s v="Customer604"/>
        <s v="Customer605"/>
        <s v="Customer606"/>
        <s v="Customer607"/>
        <s v="Customer608"/>
        <s v="Customer609"/>
        <s v="Customer610"/>
        <s v="Customer611"/>
        <s v="Customer612"/>
        <s v="Customer613"/>
        <s v="Customer614"/>
        <s v="Customer615"/>
        <s v="Customer616"/>
        <s v="Customer617"/>
        <s v="Customer618"/>
        <s v="Customer619"/>
        <s v="Customer620"/>
        <s v="Customer621"/>
        <s v="Customer622"/>
        <s v="Customer623"/>
        <s v="Customer624"/>
        <s v="Customer625"/>
        <s v="Customer626"/>
        <s v="Customer627"/>
        <s v="Customer628"/>
        <s v="Customer629"/>
        <s v="Customer630"/>
        <s v="Customer631"/>
        <s v="Customer632"/>
        <s v="Customer633"/>
        <s v="Customer634"/>
        <s v="Customer635"/>
        <s v="Customer636"/>
        <s v="Customer637"/>
        <s v="Customer638"/>
        <s v="Customer639"/>
        <s v="Customer640"/>
        <s v="Customer641"/>
        <s v="Customer642"/>
        <s v="Customer643"/>
        <s v="Customer644"/>
        <s v="Customer645"/>
        <s v="Customer646"/>
        <s v="Customer647"/>
        <s v="Customer648"/>
        <s v="Customer649"/>
        <s v="Customer650"/>
        <s v="Customer651"/>
        <s v="Customer652"/>
        <s v="Customer653"/>
        <s v="Customer654"/>
        <s v="Customer655"/>
        <s v="Customer656"/>
        <s v="Customer657"/>
        <s v="Customer658"/>
        <s v="Customer659"/>
        <s v="Customer660"/>
        <s v="Customer661"/>
        <s v="Customer662"/>
        <s v="Customer663"/>
        <s v="Customer664"/>
        <s v="Customer665"/>
        <s v="Customer666"/>
        <s v="Customer667"/>
        <s v="Customer668"/>
        <s v="Customer669"/>
        <s v="Customer670"/>
        <s v="Customer671"/>
        <s v="Customer672"/>
        <s v="Customer673"/>
        <s v="Customer674"/>
        <s v="Customer675"/>
        <s v="Customer676"/>
        <s v="Customer677"/>
        <s v="Customer678"/>
        <s v="Customer679"/>
        <s v="Customer680"/>
        <s v="Customer681"/>
        <s v="Customer682"/>
        <s v="Customer683"/>
        <s v="Customer684"/>
        <s v="Customer685"/>
        <s v="Customer686"/>
        <s v="Customer687"/>
        <s v="Customer688"/>
        <s v="Customer689"/>
        <s v="Customer690"/>
        <s v="Customer691"/>
        <s v="Customer692"/>
        <s v="Customer693"/>
        <s v="Customer694"/>
        <s v="Customer695"/>
        <s v="Customer696"/>
        <s v="Customer697"/>
        <s v="Customer698"/>
        <s v="Customer699"/>
        <s v="Customer700"/>
        <s v="Customer701"/>
        <s v="Customer702"/>
        <s v="Customer703"/>
        <s v="Customer704"/>
        <s v="Customer705"/>
        <s v="Customer706"/>
        <s v="Customer707"/>
        <s v="Customer708"/>
        <s v="Customer709"/>
        <s v="Customer710"/>
        <s v="Customer711"/>
        <s v="Customer712"/>
        <s v="Customer713"/>
        <s v="Customer714"/>
        <s v="Customer715"/>
        <s v="Customer716"/>
        <s v="Customer717"/>
        <s v="Customer718"/>
        <s v="Customer719"/>
        <s v="Customer720"/>
        <s v="Customer721"/>
        <s v="Customer722"/>
        <s v="Customer723"/>
        <s v="Customer724"/>
        <s v="Customer725"/>
        <s v="Customer726"/>
        <s v="Customer727"/>
        <s v="Customer728"/>
        <s v="Customer729"/>
        <s v="Customer730"/>
        <s v="Customer731"/>
        <s v="Customer732"/>
        <s v="Customer733"/>
        <s v="Customer734"/>
        <s v="Customer735"/>
        <s v="Customer736"/>
        <s v="Customer737"/>
        <s v="Customer738"/>
        <s v="Customer739"/>
        <s v="Customer740"/>
        <s v="Customer741"/>
        <s v="Customer742"/>
        <s v="Customer743"/>
        <s v="Customer744"/>
        <s v="Customer745"/>
        <s v="Customer746"/>
        <s v="Customer747"/>
        <s v="Customer748"/>
        <s v="Customer749"/>
        <s v="Customer750"/>
        <s v="Customer751"/>
        <s v="Customer752"/>
        <s v="Customer753"/>
        <s v="Customer754"/>
        <s v="Customer755"/>
        <s v="Customer756"/>
        <s v="Customer757"/>
        <s v="Customer758"/>
        <s v="Customer759"/>
        <s v="Customer760"/>
        <s v="Customer761"/>
        <s v="Customer762"/>
        <s v="Customer763"/>
        <s v="Customer764"/>
        <s v="Customer765"/>
        <s v="Customer766"/>
        <s v="Customer767"/>
        <s v="Customer768"/>
        <s v="Customer769"/>
        <s v="Customer770"/>
        <s v="Customer771"/>
        <s v="Customer772"/>
        <s v="Customer773"/>
        <s v="Customer774"/>
        <s v="Customer775"/>
        <s v="Customer776"/>
        <s v="Customer777"/>
        <s v="Customer778"/>
        <s v="Customer779"/>
        <s v="Customer780"/>
        <s v="Customer781"/>
        <s v="Customer782"/>
        <s v="Customer783"/>
        <s v="Customer784"/>
        <s v="Customer785"/>
        <s v="Customer786"/>
        <s v="Customer787"/>
        <s v="Customer788"/>
        <s v="Customer789"/>
        <s v="Customer790"/>
        <s v="Customer791"/>
        <s v="Customer792"/>
        <s v="Customer793"/>
        <s v="Customer794"/>
        <s v="Customer795"/>
        <s v="Customer796"/>
        <s v="Customer797"/>
        <s v="Customer798"/>
        <s v="Customer799"/>
        <s v="Customer800"/>
        <s v="Customer801"/>
        <s v="Customer802"/>
        <s v="Customer803"/>
        <s v="Customer804"/>
        <s v="Customer805"/>
        <s v="Customer806"/>
        <s v="Customer807"/>
        <s v="Customer808"/>
        <s v="Customer809"/>
        <s v="Customer810"/>
        <s v="Customer811"/>
        <s v="Customer812"/>
        <s v="Customer813"/>
        <s v="Customer814"/>
        <s v="Customer815"/>
        <s v="Customer816"/>
        <s v="Customer817"/>
        <s v="Customer818"/>
        <s v="Customer819"/>
        <s v="Customer820"/>
        <s v="Customer821"/>
        <s v="Customer822"/>
        <s v="Customer823"/>
        <s v="Customer824"/>
        <s v="Customer825"/>
        <s v="Customer826"/>
        <s v="Customer827"/>
        <s v="Customer828"/>
        <s v="Customer829"/>
        <s v="Customer830"/>
        <s v="Customer831"/>
        <s v="Customer832"/>
        <s v="Customer833"/>
        <s v="Customer834"/>
        <s v="Customer835"/>
        <s v="Customer836"/>
        <s v="Customer837"/>
        <s v="Customer838"/>
        <s v="Customer839"/>
        <s v="Customer840"/>
        <s v="Customer841"/>
        <s v="Customer842"/>
        <s v="Customer843"/>
        <s v="Customer844"/>
        <s v="Customer845"/>
        <s v="Customer846"/>
        <s v="Customer847"/>
        <s v="Customer848"/>
        <s v="Customer849"/>
        <s v="Customer850"/>
        <s v="Customer851"/>
        <s v="Customer852"/>
        <s v="Customer853"/>
        <s v="Customer854"/>
        <s v="Customer855"/>
        <s v="Customer856"/>
        <s v="Customer857"/>
        <s v="Customer858"/>
        <s v="Customer859"/>
        <s v="Customer860"/>
        <s v="Customer861"/>
        <s v="Customer862"/>
        <s v="Customer863"/>
        <s v="Customer864"/>
        <s v="Customer865"/>
        <s v="Customer866"/>
        <s v="Customer867"/>
        <s v="Customer868"/>
        <s v="Customer869"/>
        <s v="Customer870"/>
        <s v="Customer871"/>
        <s v="Customer872"/>
        <s v="Customer873"/>
        <s v="Customer874"/>
        <s v="Customer875"/>
        <s v="Customer876"/>
        <s v="Customer877"/>
        <s v="Customer878"/>
        <s v="Customer879"/>
        <s v="Customer880"/>
        <s v="Customer881"/>
        <s v="Customer882"/>
        <s v="Customer883"/>
        <s v="Customer884"/>
        <s v="Customer885"/>
        <s v="Customer886"/>
        <s v="Customer887"/>
        <s v="Customer888"/>
        <s v="Customer889"/>
        <s v="Customer890"/>
        <s v="Customer891"/>
        <s v="Customer892"/>
        <s v="Customer893"/>
        <s v="Customer894"/>
        <s v="Customer895"/>
        <s v="Customer896"/>
        <s v="Customer897"/>
        <s v="Customer898"/>
        <s v="Customer899"/>
        <s v="Customer900"/>
        <s v="Customer901"/>
        <s v="Customer902"/>
        <s v="Customer903"/>
        <s v="Customer904"/>
        <s v="Customer905"/>
        <s v="Customer906"/>
        <s v="Customer907"/>
        <s v="Customer908"/>
        <s v="Customer909"/>
        <s v="Customer910"/>
        <s v="Customer911"/>
        <s v="Customer912"/>
        <s v="Customer913"/>
        <s v="Customer914"/>
        <s v="Customer915"/>
        <s v="Customer916"/>
        <s v="Customer917"/>
        <s v="Customer918"/>
        <s v="Customer919"/>
        <s v="Customer920"/>
        <s v="Customer921"/>
        <s v="Customer922"/>
        <s v="Customer923"/>
        <s v="Customer924"/>
        <s v="Customer925"/>
        <s v="Customer926"/>
        <s v="Customer927"/>
        <s v="Customer928"/>
        <s v="Customer929"/>
        <s v="Customer930"/>
        <s v="Customer931"/>
        <s v="Customer932"/>
        <s v="Customer933"/>
        <s v="Customer934"/>
        <s v="Customer935"/>
        <s v="Customer936"/>
        <s v="Customer937"/>
        <s v="Customer938"/>
        <s v="Customer939"/>
        <s v="Customer940"/>
        <s v="Customer941"/>
        <s v="Customer942"/>
        <s v="Customer943"/>
        <s v="Customer944"/>
        <s v="Customer945"/>
        <s v="Customer946"/>
        <s v="Customer947"/>
        <s v="Customer948"/>
        <s v="Customer949"/>
        <s v="Customer950"/>
        <s v="Customer951"/>
        <s v="Customer952"/>
        <s v="Customer953"/>
        <s v="Customer954"/>
        <s v="Customer955"/>
        <s v="Customer956"/>
        <s v="Customer957"/>
        <s v="Customer958"/>
        <s v="Customer959"/>
        <s v="Customer960"/>
        <s v="Customer961"/>
        <s v="Customer962"/>
        <s v="Customer963"/>
        <s v="Customer964"/>
        <s v="Customer965"/>
        <s v="Customer966"/>
        <s v="Customer967"/>
        <s v="Customer968"/>
        <s v="Customer969"/>
        <s v="Customer970"/>
        <s v="Customer971"/>
        <s v="Customer972"/>
        <s v="Customer973"/>
        <s v="Customer974"/>
        <s v="Customer975"/>
        <s v="Customer976"/>
        <s v="Customer977"/>
        <s v="Customer978"/>
        <s v="Customer979"/>
        <s v="Customer980"/>
        <s v="Customer981"/>
        <s v="Customer982"/>
        <s v="Customer983"/>
        <s v="Customer984"/>
        <s v="Customer985"/>
        <s v="Customer986"/>
        <s v="Customer987"/>
        <s v="Customer988"/>
        <s v="Customer989"/>
        <s v="Customer990"/>
        <s v="Customer991"/>
        <s v="Customer992"/>
        <s v="Customer993"/>
        <s v="Customer994"/>
        <s v="Customer995"/>
        <s v="Customer996"/>
        <s v="Customer997"/>
        <s v="Customer998"/>
        <s v="Customer999"/>
        <s v="Customer1000"/>
      </sharedItems>
    </cacheField>
    <cacheField name="Age" numFmtId="0">
      <sharedItems containsSemiMixedTypes="0" containsString="0" containsNumber="1" containsInteger="1" minValue="18" maxValue="65" count="48">
        <n v="35"/>
        <n v="39"/>
        <n v="20"/>
        <n v="62"/>
        <n v="43"/>
        <n v="51"/>
        <n v="47"/>
        <n v="57"/>
        <n v="55"/>
        <n v="21"/>
        <n v="40"/>
        <n v="31"/>
        <n v="34"/>
        <n v="38"/>
        <n v="46"/>
        <n v="53"/>
        <n v="29"/>
        <n v="60"/>
        <n v="36"/>
        <n v="50"/>
        <n v="64"/>
        <n v="32"/>
        <n v="54"/>
        <n v="24"/>
        <n v="41"/>
        <n v="23"/>
        <n v="42"/>
        <n v="33"/>
        <n v="63"/>
        <n v="45"/>
        <n v="27"/>
        <n v="59"/>
        <n v="28"/>
        <n v="49"/>
        <n v="25"/>
        <n v="30"/>
        <n v="52"/>
        <n v="56"/>
        <n v="22"/>
        <n v="37"/>
        <n v="19"/>
        <n v="26"/>
        <n v="65"/>
        <n v="18"/>
        <n v="58"/>
        <n v="48"/>
        <n v="44"/>
        <n v="61"/>
      </sharedItems>
    </cacheField>
    <cacheField name="Gender" numFmtId="0">
      <sharedItems count="2">
        <s v="Female"/>
        <s v="Male"/>
      </sharedItems>
    </cacheField>
    <cacheField name="SubscriptionType" numFmtId="0">
      <sharedItems count="3">
        <s v="Standard"/>
        <s v="Basic"/>
        <s v="Premium"/>
      </sharedItems>
    </cacheField>
    <cacheField name="SubscriptionDate" numFmtId="14">
      <sharedItems containsSemiMixedTypes="0" containsNonDate="0" containsDate="1" containsString="0" minDate="2022-01-01T00:00:00" maxDate="2024-06-20T00:00:00"/>
    </cacheField>
    <cacheField name="LastLoginDate" numFmtId="14">
      <sharedItems containsSemiMixedTypes="0" containsNonDate="0" containsDate="1" containsString="0" minDate="2022-01-14T00:00:00" maxDate="2025-06-12T00:00:00"/>
    </cacheField>
    <cacheField name="TotalSessions" numFmtId="0">
      <sharedItems containsSemiMixedTypes="0" containsString="0" containsNumber="1" containsInteger="1" minValue="1" maxValue="500"/>
    </cacheField>
    <cacheField name="FeedbackScore" numFmtId="0">
      <sharedItems containsSemiMixedTypes="0" containsString="0" containsNumber="1" minValue="1" maxValue="5"/>
    </cacheField>
    <cacheField name="IsChurned" numFmtId="0">
      <sharedItems containsSemiMixedTypes="0" containsString="0" containsNumber="1" containsInteger="1" minValue="0" maxValue="1"/>
    </cacheField>
    <cacheField name="Status" numFmtId="0">
      <sharedItems count="2">
        <s v="Active"/>
        <s v="Churned"/>
      </sharedItems>
    </cacheField>
    <cacheField name="Month-Year" numFmtId="0">
      <sharedItems count="30">
        <s v="May-2024"/>
        <s v="Apr-2022"/>
        <s v="Jul-2023"/>
        <s v="Apr-2023"/>
        <s v="Feb-2024"/>
        <s v="Mar-2022"/>
        <s v="Jan-2024"/>
        <s v="May-2022"/>
        <s v="Jun-2022"/>
        <s v="Mar-2024"/>
        <s v="Jan-2023"/>
        <s v="Aug-2023"/>
        <s v="Sep-2023"/>
        <s v="Apr-2024"/>
        <s v="Sep-2022"/>
        <s v="Feb-2022"/>
        <s v="May-2023"/>
        <s v="Jun-2023"/>
        <s v="Oct-2022"/>
        <s v="Nov-2023"/>
        <s v="Feb-2023"/>
        <s v="Dec-2023"/>
        <s v="Jan-2022"/>
        <s v="Dec-2022"/>
        <s v="Mar-2023"/>
        <s v="Nov-2022"/>
        <s v="Aug-2022"/>
        <s v="Oct-2023"/>
        <s v="Jul-2022"/>
        <s v="Jun-2024"/>
      </sharedItems>
    </cacheField>
    <cacheField name="Days Since Last Login" numFmtId="14">
      <sharedItems containsSemiMixedTypes="0" containsNonDate="0" containsDate="1" containsString="0" minDate="1900-08-11T00:00:00" maxDate="1904-01-08T00:00:00" count="653">
        <d v="1901-02-24T00:00:00"/>
        <d v="1903-04-16T00:00:00"/>
        <d v="1901-11-23T00:00:00"/>
        <d v="1902-04-01T00:00:00"/>
        <d v="1901-11-02T00:00:00"/>
        <d v="1902-12-20T00:00:00"/>
        <d v="1901-09-08T00:00:00"/>
        <d v="1903-08-06T00:00:00"/>
        <d v="1902-10-14T00:00:00"/>
        <d v="1901-01-04T00:00:00"/>
        <d v="1902-09-01T00:00:00"/>
        <d v="1902-05-08T00:00:00"/>
        <d v="1901-12-14T00:00:00"/>
        <d v="1900-12-18T00:00:00"/>
        <d v="1903-08-04T00:00:00"/>
        <d v="1902-10-04T00:00:00"/>
        <d v="1900-11-09T00:00:00"/>
        <d v="1902-09-19T00:00:00"/>
        <d v="1903-02-15T00:00:00"/>
        <d v="1903-07-07T00:00:00"/>
        <d v="1902-04-12T00:00:00"/>
        <d v="1903-11-04T00:00:00"/>
        <d v="1902-11-05T00:00:00"/>
        <d v="1902-01-01T00:00:00"/>
        <d v="1902-06-14T00:00:00"/>
        <d v="1901-11-29T00:00:00"/>
        <d v="1902-11-25T00:00:00"/>
        <d v="1901-11-13T00:00:00"/>
        <d v="1902-09-05T00:00:00"/>
        <d v="1900-12-01T00:00:00"/>
        <d v="1903-03-13T00:00:00"/>
        <d v="1902-10-02T00:00:00"/>
        <d v="1901-01-29T00:00:00"/>
        <d v="1901-09-22T00:00:00"/>
        <d v="1903-02-06T00:00:00"/>
        <d v="1901-08-04T00:00:00"/>
        <d v="1901-09-04T00:00:00"/>
        <d v="1901-04-04T00:00:00"/>
        <d v="1901-12-02T00:00:00"/>
        <d v="1903-03-19T00:00:00"/>
        <d v="1901-01-20T00:00:00"/>
        <d v="1901-12-22T00:00:00"/>
        <d v="1902-10-28T00:00:00"/>
        <d v="1901-02-18T00:00:00"/>
        <d v="1903-06-02T00:00:00"/>
        <d v="1903-12-28T00:00:00"/>
        <d v="1902-03-11T00:00:00"/>
        <d v="1902-03-03T00:00:00"/>
        <d v="1901-11-04T00:00:00"/>
        <d v="1902-11-24T00:00:00"/>
        <d v="1902-05-06T00:00:00"/>
        <d v="1901-05-09T00:00:00"/>
        <d v="1902-12-05T00:00:00"/>
        <d v="1902-08-26T00:00:00"/>
        <d v="1901-12-23T00:00:00"/>
        <d v="1901-06-14T00:00:00"/>
        <d v="1902-12-26T00:00:00"/>
        <d v="1901-09-13T00:00:00"/>
        <d v="1901-09-09T00:00:00"/>
        <d v="1902-03-13T00:00:00"/>
        <d v="1902-02-24T00:00:00"/>
        <d v="1902-11-09T00:00:00"/>
        <d v="1901-08-14T00:00:00"/>
        <d v="1902-05-16T00:00:00"/>
        <d v="1901-01-30T00:00:00"/>
        <d v="1903-08-02T00:00:00"/>
        <d v="1902-06-22T00:00:00"/>
        <d v="1901-05-30T00:00:00"/>
        <d v="1902-07-02T00:00:00"/>
        <d v="1903-01-25T00:00:00"/>
        <d v="1901-07-13T00:00:00"/>
        <d v="1902-07-23T00:00:00"/>
        <d v="1902-01-14T00:00:00"/>
        <d v="1903-03-12T00:00:00"/>
        <d v="1902-10-15T00:00:00"/>
        <d v="1902-07-29T00:00:00"/>
        <d v="1903-07-11T00:00:00"/>
        <d v="1901-12-31T00:00:00"/>
        <d v="1901-01-01T00:00:00"/>
        <d v="1901-08-22T00:00:00"/>
        <d v="1903-01-05T00:00:00"/>
        <d v="1902-05-11T00:00:00"/>
        <d v="1902-06-07T00:00:00"/>
        <d v="1902-06-08T00:00:00"/>
        <d v="1900-11-26T00:00:00"/>
        <d v="1901-11-08T00:00:00"/>
        <d v="1900-10-19T00:00:00"/>
        <d v="1901-05-19T00:00:00"/>
        <d v="1901-10-06T00:00:00"/>
        <d v="1903-11-14T00:00:00"/>
        <d v="1901-09-15T00:00:00"/>
        <d v="1902-02-09T00:00:00"/>
        <d v="1901-09-30T00:00:00"/>
        <d v="1901-07-12T00:00:00"/>
        <d v="1901-08-02T00:00:00"/>
        <d v="1901-07-08T00:00:00"/>
        <d v="1902-04-16T00:00:00"/>
        <d v="1902-09-17T00:00:00"/>
        <d v="1902-08-03T00:00:00"/>
        <d v="1901-10-03T00:00:00"/>
        <d v="1901-05-11T00:00:00"/>
        <d v="1900-12-30T00:00:00"/>
        <d v="1903-04-17T00:00:00"/>
        <d v="1902-06-16T00:00:00"/>
        <d v="1901-12-10T00:00:00"/>
        <d v="1902-08-12T00:00:00"/>
        <d v="1901-06-17T00:00:00"/>
        <d v="1901-06-29T00:00:00"/>
        <d v="1902-10-22T00:00:00"/>
        <d v="1902-09-20T00:00:00"/>
        <d v="1901-07-23T00:00:00"/>
        <d v="1902-01-04T00:00:00"/>
        <d v="1902-07-22T00:00:00"/>
        <d v="1901-12-05T00:00:00"/>
        <d v="1901-11-27T00:00:00"/>
        <d v="1901-02-10T00:00:00"/>
        <d v="1901-05-13T00:00:00"/>
        <d v="1902-04-29T00:00:00"/>
        <d v="1901-12-16T00:00:00"/>
        <d v="1901-06-25T00:00:00"/>
        <d v="1902-05-30T00:00:00"/>
        <d v="1901-10-24T00:00:00"/>
        <d v="1903-06-12T00:00:00"/>
        <d v="1901-03-31T00:00:00"/>
        <d v="1901-08-31T00:00:00"/>
        <d v="1902-05-27T00:00:00"/>
        <d v="1903-04-27T00:00:00"/>
        <d v="1903-01-30T00:00:00"/>
        <d v="1901-09-23T00:00:00"/>
        <d v="1903-11-07T00:00:00"/>
        <d v="1902-02-13T00:00:00"/>
        <d v="1901-08-09T00:00:00"/>
        <d v="1903-08-01T00:00:00"/>
        <d v="1903-07-10T00:00:00"/>
        <d v="1901-10-10T00:00:00"/>
        <d v="1901-07-25T00:00:00"/>
        <d v="1902-06-24T00:00:00"/>
        <d v="1902-02-14T00:00:00"/>
        <d v="1902-04-20T00:00:00"/>
        <d v="1902-01-29T00:00:00"/>
        <d v="1903-05-29T00:00:00"/>
        <d v="1901-12-25T00:00:00"/>
        <d v="1903-03-06T00:00:00"/>
        <d v="1902-07-14T00:00:00"/>
        <d v="1903-04-02T00:00:00"/>
        <d v="1903-01-23T00:00:00"/>
        <d v="1901-04-27T00:00:00"/>
        <d v="1901-04-25T00:00:00"/>
        <d v="1901-10-05T00:00:00"/>
        <d v="1901-08-20T00:00:00"/>
        <d v="1901-11-01T00:00:00"/>
        <d v="1902-08-16T00:00:00"/>
        <d v="1901-06-13T00:00:00"/>
        <d v="1902-06-20T00:00:00"/>
        <d v="1903-01-13T00:00:00"/>
        <d v="1901-04-12T00:00:00"/>
        <d v="1901-10-16T00:00:00"/>
        <d v="1901-07-19T00:00:00"/>
        <d v="1902-08-06T00:00:00"/>
        <d v="1902-06-03T00:00:00"/>
        <d v="1902-08-31T00:00:00"/>
        <d v="1902-11-19T00:00:00"/>
        <d v="1901-10-28T00:00:00"/>
        <d v="1902-10-06T00:00:00"/>
        <d v="1901-07-29T00:00:00"/>
        <d v="1902-01-24T00:00:00"/>
        <d v="1903-05-30T00:00:00"/>
        <d v="1901-05-12T00:00:00"/>
        <d v="1902-05-07T00:00:00"/>
        <d v="1902-06-11T00:00:00"/>
        <d v="1903-07-15T00:00:00"/>
        <d v="1901-10-07T00:00:00"/>
        <d v="1903-06-04T00:00:00"/>
        <d v="1902-12-25T00:00:00"/>
        <d v="1901-03-28T00:00:00"/>
        <d v="1903-04-08T00:00:00"/>
        <d v="1902-01-25T00:00:00"/>
        <d v="1903-08-19T00:00:00"/>
        <d v="1903-09-29T00:00:00"/>
        <d v="1903-04-20T00:00:00"/>
        <d v="1902-08-07T00:00:00"/>
        <d v="1901-05-29T00:00:00"/>
        <d v="1900-12-07T00:00:00"/>
        <d v="1901-03-11T00:00:00"/>
        <d v="1902-08-29T00:00:00"/>
        <d v="1900-12-25T00:00:00"/>
        <d v="1901-06-23T00:00:00"/>
        <d v="1903-05-12T00:00:00"/>
        <d v="1903-03-07T00:00:00"/>
        <d v="1901-11-16T00:00:00"/>
        <d v="1902-11-17T00:00:00"/>
        <d v="1902-03-15T00:00:00"/>
        <d v="1902-01-20T00:00:00"/>
        <d v="1902-12-18T00:00:00"/>
        <d v="1901-11-05T00:00:00"/>
        <d v="1901-08-13T00:00:00"/>
        <d v="1902-04-14T00:00:00"/>
        <d v="1903-05-14T00:00:00"/>
        <d v="1902-11-12T00:00:00"/>
        <d v="1900-12-22T00:00:00"/>
        <d v="1902-02-20T00:00:00"/>
        <d v="1902-04-11T00:00:00"/>
        <d v="1901-03-25T00:00:00"/>
        <d v="1901-11-12T00:00:00"/>
        <d v="1901-07-06T00:00:00"/>
        <d v="1902-10-20T00:00:00"/>
        <d v="1901-09-28T00:00:00"/>
        <d v="1903-07-02T00:00:00"/>
        <d v="1902-07-01T00:00:00"/>
        <d v="1901-12-15T00:00:00"/>
        <d v="1901-10-08T00:00:00"/>
        <d v="1901-09-06T00:00:00"/>
        <d v="1901-12-29T00:00:00"/>
        <d v="1901-09-18T00:00:00"/>
        <d v="1901-04-14T00:00:00"/>
        <d v="1902-03-29T00:00:00"/>
        <d v="1903-01-20T00:00:00"/>
        <d v="1902-02-06T00:00:00"/>
        <d v="1901-03-16T00:00:00"/>
        <d v="1901-11-20T00:00:00"/>
        <d v="1900-10-16T00:00:00"/>
        <d v="1902-06-21T00:00:00"/>
        <d v="1901-01-03T00:00:00"/>
        <d v="1902-10-24T00:00:00"/>
        <d v="1901-01-22T00:00:00"/>
        <d v="1902-02-25T00:00:00"/>
        <d v="1901-07-05T00:00:00"/>
        <d v="1901-11-25T00:00:00"/>
        <d v="1901-01-13T00:00:00"/>
        <d v="1903-03-26T00:00:00"/>
        <d v="1901-01-15T00:00:00"/>
        <d v="1903-01-08T00:00:00"/>
        <d v="1901-10-13T00:00:00"/>
        <d v="1903-06-30T00:00:00"/>
        <d v="1901-04-06T00:00:00"/>
        <d v="1901-09-26T00:00:00"/>
        <d v="1903-01-21T00:00:00"/>
        <d v="1901-07-31T00:00:00"/>
        <d v="1901-07-07T00:00:00"/>
        <d v="1900-11-22T00:00:00"/>
        <d v="1902-03-16T00:00:00"/>
        <d v="1901-05-10T00:00:00"/>
        <d v="1903-01-17T00:00:00"/>
        <d v="1901-07-01T00:00:00"/>
        <d v="1901-07-03T00:00:00"/>
        <d v="1901-04-11T00:00:00"/>
        <d v="1901-10-09T00:00:00"/>
        <d v="1901-04-21T00:00:00"/>
        <d v="1903-01-27T00:00:00"/>
        <d v="1903-02-21T00:00:00"/>
        <d v="1901-02-16T00:00:00"/>
        <d v="1903-07-12T00:00:00"/>
        <d v="1902-05-17T00:00:00"/>
        <d v="1901-11-21T00:00:00"/>
        <d v="1902-02-15T00:00:00"/>
        <d v="1901-03-05T00:00:00"/>
        <d v="1901-03-18T00:00:00"/>
        <d v="1901-05-25T00:00:00"/>
        <d v="1903-01-03T00:00:00"/>
        <d v="1902-11-18T00:00:00"/>
        <d v="1901-08-06T00:00:00"/>
        <d v="1903-07-24T00:00:00"/>
        <d v="1901-07-09T00:00:00"/>
        <d v="1903-04-13T00:00:00"/>
        <d v="1901-08-07T00:00:00"/>
        <d v="1901-05-02T00:00:00"/>
        <d v="1902-10-31T00:00:00"/>
        <d v="1902-10-23T00:00:00"/>
        <d v="1902-03-07T00:00:00"/>
        <d v="1902-01-22T00:00:00"/>
        <d v="1901-03-29T00:00:00"/>
        <d v="1902-09-13T00:00:00"/>
        <d v="1903-05-05T00:00:00"/>
        <d v="1902-10-30T00:00:00"/>
        <d v="1902-11-30T00:00:00"/>
        <d v="1902-01-21T00:00:00"/>
        <d v="1903-01-12T00:00:00"/>
        <d v="1902-07-17T00:00:00"/>
        <d v="1903-09-10T00:00:00"/>
        <d v="1903-04-10T00:00:00"/>
        <d v="1901-03-06T00:00:00"/>
        <d v="1902-07-08T00:00:00"/>
        <d v="1901-06-15T00:00:00"/>
        <d v="1902-07-31T00:00:00"/>
        <d v="1903-09-13T00:00:00"/>
        <d v="1901-05-14T00:00:00"/>
        <d v="1902-08-14T00:00:00"/>
        <d v="1900-12-04T00:00:00"/>
        <d v="1903-08-11T00:00:00"/>
        <d v="1901-02-25T00:00:00"/>
        <d v="1902-07-07T00:00:00"/>
        <d v="1903-02-24T00:00:00"/>
        <d v="1902-09-27T00:00:00"/>
        <d v="1902-05-24T00:00:00"/>
        <d v="1903-09-28T00:00:00"/>
        <d v="1903-01-19T00:00:00"/>
        <d v="1902-08-25T00:00:00"/>
        <d v="1903-08-05T00:00:00"/>
        <d v="1902-12-17T00:00:00"/>
        <d v="1903-12-07T00:00:00"/>
        <d v="1902-09-24T00:00:00"/>
        <d v="1901-10-22T00:00:00"/>
        <d v="1903-03-23T00:00:00"/>
        <d v="1901-04-17T00:00:00"/>
        <d v="1902-06-27T00:00:00"/>
        <d v="1901-02-20T00:00:00"/>
        <d v="1903-01-18T00:00:00"/>
        <d v="1901-08-16T00:00:00"/>
        <d v="1900-10-29T00:00:00"/>
        <d v="1901-07-02T00:00:00"/>
        <d v="1902-10-10T00:00:00"/>
        <d v="1904-01-06T00:00:00"/>
        <d v="1901-05-01T00:00:00"/>
        <d v="1902-02-27T00:00:00"/>
        <d v="1901-06-21T00:00:00"/>
        <d v="1903-03-28T00:00:00"/>
        <d v="1901-04-29T00:00:00"/>
        <d v="1902-02-28T00:00:00"/>
        <d v="1903-12-21T00:00:00"/>
        <d v="1903-07-28T00:00:00"/>
        <d v="1902-01-13T00:00:00"/>
        <d v="1901-07-22T00:00:00"/>
        <d v="1902-11-06T00:00:00"/>
        <d v="1902-07-27T00:00:00"/>
        <d v="1903-07-21T00:00:00"/>
        <d v="1901-11-11T00:00:00"/>
        <d v="1902-04-08T00:00:00"/>
        <d v="1901-11-07T00:00:00"/>
        <d v="1901-12-30T00:00:00"/>
        <d v="1903-06-18T00:00:00"/>
        <d v="1902-04-23T00:00:00"/>
        <d v="1900-11-20T00:00:00"/>
        <d v="1901-10-14T00:00:00"/>
        <d v="1903-05-21T00:00:00"/>
        <d v="1903-01-24T00:00:00"/>
        <d v="1901-01-16T00:00:00"/>
        <d v="1903-03-08T00:00:00"/>
        <d v="1901-09-01T00:00:00"/>
        <d v="1902-10-07T00:00:00"/>
        <d v="1901-11-15T00:00:00"/>
        <d v="1901-12-08T00:00:00"/>
        <d v="1902-09-12T00:00:00"/>
        <d v="1902-06-15T00:00:00"/>
        <d v="1902-12-19T00:00:00"/>
        <d v="1900-11-06T00:00:00"/>
        <d v="1903-08-21T00:00:00"/>
        <d v="1901-08-10T00:00:00"/>
        <d v="1901-11-06T00:00:00"/>
        <d v="1901-09-12T00:00:00"/>
        <d v="1901-06-22T00:00:00"/>
        <d v="1902-08-15T00:00:00"/>
        <d v="1902-10-09T00:00:00"/>
        <d v="1903-05-17T00:00:00"/>
        <d v="1902-05-10T00:00:00"/>
        <d v="1902-11-04T00:00:00"/>
        <d v="1902-03-22T00:00:00"/>
        <d v="1901-10-20T00:00:00"/>
        <d v="1901-12-06T00:00:00"/>
        <d v="1902-10-12T00:00:00"/>
        <d v="1903-05-06T00:00:00"/>
        <d v="1902-07-30T00:00:00"/>
        <d v="1902-12-29T00:00:00"/>
        <d v="1901-04-03T00:00:00"/>
        <d v="1901-11-30T00:00:00"/>
        <d v="1902-05-05T00:00:00"/>
        <d v="1901-09-02T00:00:00"/>
        <d v="1903-04-29T00:00:00"/>
        <d v="1902-11-27T00:00:00"/>
        <d v="1902-04-06T00:00:00"/>
        <d v="1900-09-30T00:00:00"/>
        <d v="1901-08-27T00:00:00"/>
        <d v="1901-11-09T00:00:00"/>
        <d v="1901-07-17T00:00:00"/>
        <d v="1901-09-25T00:00:00"/>
        <d v="1902-01-05T00:00:00"/>
        <d v="1902-10-21T00:00:00"/>
        <d v="1902-10-18T00:00:00"/>
        <d v="1903-07-29T00:00:00"/>
        <d v="1903-05-19T00:00:00"/>
        <d v="1902-12-15T00:00:00"/>
        <d v="1902-05-20T00:00:00"/>
        <d v="1903-07-31T00:00:00"/>
        <d v="1901-07-14T00:00:00"/>
        <d v="1902-07-18T00:00:00"/>
        <d v="1902-05-01T00:00:00"/>
        <d v="1903-04-03T00:00:00"/>
        <d v="1903-04-18T00:00:00"/>
        <d v="1901-03-30T00:00:00"/>
        <d v="1901-09-17T00:00:00"/>
        <d v="1900-12-31T00:00:00"/>
        <d v="1903-02-03T00:00:00"/>
        <d v="1901-12-21T00:00:00"/>
        <d v="1903-06-08T00:00:00"/>
        <d v="1903-01-11T00:00:00"/>
        <d v="1903-10-23T00:00:00"/>
        <d v="1903-02-10T00:00:00"/>
        <d v="1902-07-13T00:00:00"/>
        <d v="1902-07-16T00:00:00"/>
        <d v="1903-01-16T00:00:00"/>
        <d v="1901-09-21T00:00:00"/>
        <d v="1902-04-28T00:00:00"/>
        <d v="1902-02-22T00:00:00"/>
        <d v="1902-05-21T00:00:00"/>
        <d v="1902-12-12T00:00:00"/>
        <d v="1901-11-28T00:00:00"/>
        <d v="1903-08-25T00:00:00"/>
        <d v="1900-12-15T00:00:00"/>
        <d v="1901-10-25T00:00:00"/>
        <d v="1903-03-29T00:00:00"/>
        <d v="1901-06-07T00:00:00"/>
        <d v="1902-03-06T00:00:00"/>
        <d v="1903-02-01T00:00:00"/>
        <d v="1902-01-17T00:00:00"/>
        <d v="1901-12-09T00:00:00"/>
        <d v="1902-03-08T00:00:00"/>
        <d v="1903-03-11T00:00:00"/>
        <d v="1902-12-04T00:00:00"/>
        <d v="1900-10-24T00:00:00"/>
        <d v="1901-10-26T00:00:00"/>
        <d v="1903-09-03T00:00:00"/>
        <d v="1902-04-04T00:00:00"/>
        <d v="1902-01-19T00:00:00"/>
        <d v="1903-05-20T00:00:00"/>
        <d v="1902-04-02T00:00:00"/>
        <d v="1903-03-18T00:00:00"/>
        <d v="1901-02-12T00:00:00"/>
        <d v="1903-03-27T00:00:00"/>
        <d v="1901-10-01T00:00:00"/>
        <d v="1900-10-20T00:00:00"/>
        <d v="1902-12-22T00:00:00"/>
        <d v="1902-04-09T00:00:00"/>
        <d v="1901-06-18T00:00:00"/>
        <d v="1902-06-01T00:00:00"/>
        <d v="1902-01-15T00:00:00"/>
        <d v="1902-08-04T00:00:00"/>
        <d v="1901-12-18T00:00:00"/>
        <d v="1903-01-04T00:00:00"/>
        <d v="1901-06-16T00:00:00"/>
        <d v="1902-01-11T00:00:00"/>
        <d v="1901-10-17T00:00:00"/>
        <d v="1903-08-16T00:00:00"/>
        <d v="1903-06-10T00:00:00"/>
        <d v="1902-12-21T00:00:00"/>
        <d v="1901-08-01T00:00:00"/>
        <d v="1903-01-31T00:00:00"/>
        <d v="1903-05-09T00:00:00"/>
        <d v="1902-11-26T00:00:00"/>
        <d v="1903-03-04T00:00:00"/>
        <d v="1901-10-30T00:00:00"/>
        <d v="1902-03-14T00:00:00"/>
        <d v="1901-06-12T00:00:00"/>
        <d v="1903-03-14T00:00:00"/>
        <d v="1902-01-28T00:00:00"/>
        <d v="1902-09-08T00:00:00"/>
        <d v="1903-08-15T00:00:00"/>
        <d v="1902-09-16T00:00:00"/>
        <d v="1900-12-08T00:00:00"/>
        <d v="1902-02-26T00:00:00"/>
        <d v="1902-06-25T00:00:00"/>
        <d v="1901-10-21T00:00:00"/>
        <d v="1902-07-21T00:00:00"/>
        <d v="1903-06-11T00:00:00"/>
        <d v="1900-12-29T00:00:00"/>
        <d v="1903-09-07T00:00:00"/>
        <d v="1902-02-12T00:00:00"/>
        <d v="1902-06-12T00:00:00"/>
        <d v="1903-08-12T00:00:00"/>
        <d v="1901-04-24T00:00:00"/>
        <d v="1902-02-08T00:00:00"/>
        <d v="1902-11-29T00:00:00"/>
        <d v="1902-07-26T00:00:00"/>
        <d v="1901-02-09T00:00:00"/>
        <d v="1903-01-14T00:00:00"/>
        <d v="1901-08-17T00:00:00"/>
        <d v="1903-06-26T00:00:00"/>
        <d v="1903-02-09T00:00:00"/>
        <d v="1902-08-17T00:00:00"/>
        <d v="1901-05-07T00:00:00"/>
        <d v="1902-01-26T00:00:00"/>
        <d v="1903-09-23T00:00:00"/>
        <d v="1902-08-30T00:00:00"/>
        <d v="1901-07-18T00:00:00"/>
        <d v="1900-08-11T00:00:00"/>
        <d v="1901-02-02T00:00:00"/>
        <d v="1902-06-19T00:00:00"/>
        <d v="1903-09-27T00:00:00"/>
        <d v="1902-07-24T00:00:00"/>
        <d v="1903-11-26T00:00:00"/>
        <d v="1903-02-14T00:00:00"/>
        <d v="1903-05-07T00:00:00"/>
        <d v="1901-05-03T00:00:00"/>
        <d v="1902-09-25T00:00:00"/>
        <d v="1901-08-25T00:00:00"/>
        <d v="1901-05-17T00:00:00"/>
        <d v="1901-11-26T00:00:00"/>
        <d v="1902-02-17T00:00:00"/>
        <d v="1902-08-18T00:00:00"/>
        <d v="1901-08-28T00:00:00"/>
        <d v="1901-03-09T00:00:00"/>
        <d v="1903-06-27T00:00:00"/>
        <d v="1903-08-17T00:00:00"/>
        <d v="1902-05-13T00:00:00"/>
        <d v="1903-10-01T00:00:00"/>
        <d v="1903-06-06T00:00:00"/>
        <d v="1902-03-19T00:00:00"/>
        <d v="1902-01-30T00:00:00"/>
        <d v="1901-01-23T00:00:00"/>
        <d v="1903-08-08T00:00:00"/>
        <d v="1903-05-28T00:00:00"/>
        <d v="1902-12-01T00:00:00"/>
        <d v="1902-08-10T00:00:00"/>
        <d v="1902-06-28T00:00:00"/>
        <d v="1903-02-02T00:00:00"/>
        <d v="1903-01-07T00:00:00"/>
        <d v="1902-12-16T00:00:00"/>
        <d v="1903-11-16T00:00:00"/>
        <d v="1903-02-07T00:00:00"/>
        <d v="1903-03-01T00:00:00"/>
        <d v="1903-02-05T00:00:00"/>
        <d v="1902-04-10T00:00:00"/>
        <d v="1901-08-18T00:00:00"/>
        <d v="1901-01-02T00:00:00"/>
        <d v="1901-12-27T00:00:00"/>
        <d v="1903-07-03T00:00:00"/>
        <d v="1902-08-20T00:00:00"/>
        <d v="1901-02-08T00:00:00"/>
        <d v="1901-04-16T00:00:00"/>
        <d v="1902-03-30T00:00:00"/>
        <d v="1902-12-10T00:00:00"/>
        <d v="1902-02-21T00:00:00"/>
        <d v="1901-01-06T00:00:00"/>
        <d v="1902-03-27T00:00:00"/>
        <d v="1901-01-10T00:00:00"/>
        <d v="1900-11-15T00:00:00"/>
        <d v="1903-10-10T00:00:00"/>
        <d v="1901-09-10T00:00:00"/>
        <d v="1902-04-21T00:00:00"/>
        <d v="1903-05-13T00:00:00"/>
        <d v="1901-12-13T00:00:00"/>
        <d v="1902-01-09T00:00:00"/>
        <d v="1900-12-16T00:00:00"/>
        <d v="1901-09-03T00:00:00"/>
        <d v="1902-07-04T00:00:00"/>
        <d v="1901-04-13T00:00:00"/>
        <d v="1902-08-23T00:00:00"/>
        <d v="1901-09-20T00:00:00"/>
        <d v="1902-11-20T00:00:00"/>
        <d v="1901-06-08T00:00:00"/>
        <d v="1902-04-26T00:00:00"/>
        <d v="1902-07-06T00:00:00"/>
        <d v="1901-04-18T00:00:00"/>
        <d v="1901-08-03T00:00:00"/>
        <d v="1901-12-24T00:00:00"/>
        <d v="1902-03-17T00:00:00"/>
        <d v="1903-06-14T00:00:00"/>
        <d v="1902-09-21T00:00:00"/>
        <d v="1901-08-19T00:00:00"/>
        <d v="1902-05-26T00:00:00"/>
        <d v="1901-05-04T00:00:00"/>
        <d v="1900-12-03T00:00:00"/>
        <d v="1903-03-20T00:00:00"/>
        <d v="1901-03-15T00:00:00"/>
        <d v="1901-08-23T00:00:00"/>
        <d v="1900-11-19T00:00:00"/>
        <d v="1902-03-01T00:00:00"/>
        <d v="1902-07-20T00:00:00"/>
        <d v="1903-04-26T00:00:00"/>
        <d v="1901-01-21T00:00:00"/>
        <d v="1903-06-23T00:00:00"/>
        <d v="1903-03-22T00:00:00"/>
        <d v="1903-05-23T00:00:00"/>
        <d v="1901-02-22T00:00:00"/>
        <d v="1903-03-21T00:00:00"/>
        <d v="1902-03-12T00:00:00"/>
        <d v="1903-07-04T00:00:00"/>
        <d v="1901-04-19T00:00:00"/>
        <d v="1902-09-03T00:00:00"/>
        <d v="1901-01-17T00:00:00"/>
        <d v="1902-01-31T00:00:00"/>
        <d v="1903-05-31T00:00:00"/>
        <d v="1903-11-21T00:00:00"/>
        <d v="1901-10-18T00:00:00"/>
        <d v="1903-09-11T00:00:00"/>
        <d v="1901-03-20T00:00:00"/>
        <d v="1903-04-21T00:00:00"/>
        <d v="1901-10-02T00:00:00"/>
        <d v="1903-05-25T00:00:00"/>
        <d v="1901-09-07T00:00:00"/>
        <d v="1901-02-07T00:00:00"/>
        <d v="1903-02-25T00:00:00"/>
        <d v="1903-10-24T00:00:00"/>
        <d v="1902-09-10T00:00:00"/>
        <d v="1903-02-22T00:00:00"/>
        <d v="1901-04-05T00:00:00"/>
        <d v="1902-10-27T00:00:00"/>
        <d v="1902-07-09T00:00:00"/>
        <d v="1902-10-13T00:00:00"/>
        <d v="1902-02-23T00:00:00"/>
        <d v="1901-02-23T00:00:00"/>
        <d v="1902-11-13T00:00:00"/>
        <d v="1902-02-01T00:00:00"/>
        <d v="1901-04-22T00:00:00"/>
        <d v="1902-08-21T00:00:00"/>
        <d v="1900-12-27T00:00:00"/>
        <d v="1902-11-07T00:00:00"/>
        <d v="1902-01-23T00:00:00"/>
        <d v="1902-06-29T00:00:00"/>
        <d v="1900-12-12T00:00:00"/>
        <d v="1902-03-18T00:00:00"/>
        <d v="1902-02-10T00:00:00"/>
        <d v="1902-09-23T00:00:00"/>
        <d v="1901-02-21T00:00:00"/>
        <d v="1902-01-03T00:00:00"/>
        <d v="1901-03-19T00:00:00"/>
        <d v="1904-01-07T00:00:00"/>
        <d v="1903-08-13T00:00:00"/>
        <d v="1901-12-01T00:00:00"/>
        <d v="1901-04-28T00:00:00"/>
        <d v="1903-02-13T00:00:00"/>
        <d v="1900-11-14T00:00:00"/>
        <d v="1903-05-15T00:00:00"/>
        <d v="1902-12-11T00:00:00"/>
        <d v="1901-05-15T00:00:00"/>
        <d v="1903-04-28T00:00:00"/>
        <d v="1900-11-27T00:00:00"/>
        <d v="1900-11-13T00:00:00"/>
        <d v="1901-06-06T00:00:00"/>
        <d v="1900-11-29T00:00:00"/>
        <d v="1903-06-28T00:00:00"/>
        <d v="1903-03-09T00:00:00"/>
        <d v="1902-11-10T00:00:00"/>
        <d v="1902-07-19T00:00:00"/>
        <d v="1901-10-23T00:00:00"/>
        <d v="1903-04-15T00:00:00"/>
        <d v="1902-11-08T00:00:00"/>
        <d v="1903-07-13T00:00:00"/>
        <d v="1901-07-11T00:00:00"/>
        <d v="1902-03-23T00:00:00"/>
        <d v="1901-05-31T00:00:00"/>
        <d v="1901-08-21T00:00:00"/>
        <d v="1903-02-08T00:00:00"/>
        <d v="1901-09-27T00:00:00"/>
        <d v="1901-05-18T00:00:00"/>
        <d v="1901-07-28T00:00:00"/>
        <d v="1901-10-12T00:00:00"/>
        <d v="1902-02-07T00:00:00"/>
        <d v="1901-01-25T00:00:00"/>
        <d v="1902-06-05T00:00:00"/>
        <d v="1903-02-26T00:00:00"/>
        <d v="1901-07-04T00:00:00"/>
        <d v="1901-01-09T00:00:00"/>
        <d v="1903-10-13T00:00:00"/>
        <d v="1902-09-15T00:00:00"/>
      </sharedItems>
    </cacheField>
  </cacheFields>
  <extLst>
    <ext xmlns:x14="http://schemas.microsoft.com/office/spreadsheetml/2009/9/main" uri="{725AE2AE-9491-48be-B2B4-4EB974FC3084}">
      <x14:pivotCacheDefinition pivotCacheId="15877736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x v="0"/>
    <x v="0"/>
    <x v="0"/>
    <d v="2024-05-29T00:00:00"/>
    <d v="2024-11-26T00:00:00"/>
    <n v="45"/>
    <n v="2.4"/>
    <n v="0"/>
    <x v="0"/>
    <x v="0"/>
    <x v="0"/>
  </r>
  <r>
    <n v="2"/>
    <x v="1"/>
    <x v="1"/>
    <x v="1"/>
    <x v="1"/>
    <d v="2022-04-10T00:00:00"/>
    <d v="2022-10-07T00:00:00"/>
    <n v="36"/>
    <n v="4.0999999999999996"/>
    <n v="1"/>
    <x v="1"/>
    <x v="1"/>
    <x v="1"/>
  </r>
  <r>
    <n v="3"/>
    <x v="2"/>
    <x v="2"/>
    <x v="1"/>
    <x v="0"/>
    <d v="2023-07-15T00:00:00"/>
    <d v="2024-02-28T00:00:00"/>
    <n v="332"/>
    <n v="4.2"/>
    <n v="0"/>
    <x v="0"/>
    <x v="2"/>
    <x v="2"/>
  </r>
  <r>
    <n v="4"/>
    <x v="3"/>
    <x v="3"/>
    <x v="1"/>
    <x v="2"/>
    <d v="2023-04-17T00:00:00"/>
    <d v="2023-10-22T00:00:00"/>
    <n v="167"/>
    <n v="2.9"/>
    <n v="1"/>
    <x v="1"/>
    <x v="3"/>
    <x v="3"/>
  </r>
  <r>
    <n v="5"/>
    <x v="4"/>
    <x v="1"/>
    <x v="0"/>
    <x v="2"/>
    <d v="2024-02-20T00:00:00"/>
    <d v="2024-03-20T00:00:00"/>
    <n v="335"/>
    <n v="2.2000000000000002"/>
    <n v="1"/>
    <x v="1"/>
    <x v="4"/>
    <x v="4"/>
  </r>
  <r>
    <n v="6"/>
    <x v="5"/>
    <x v="0"/>
    <x v="0"/>
    <x v="2"/>
    <d v="2022-03-18T00:00:00"/>
    <d v="2023-02-01T00:00:00"/>
    <n v="364"/>
    <n v="3.1"/>
    <n v="0"/>
    <x v="0"/>
    <x v="5"/>
    <x v="5"/>
  </r>
  <r>
    <n v="7"/>
    <x v="6"/>
    <x v="4"/>
    <x v="0"/>
    <x v="2"/>
    <d v="2024-01-08T00:00:00"/>
    <d v="2024-05-14T00:00:00"/>
    <n v="224"/>
    <n v="4.4000000000000004"/>
    <n v="1"/>
    <x v="1"/>
    <x v="6"/>
    <x v="6"/>
  </r>
  <r>
    <n v="8"/>
    <x v="7"/>
    <x v="5"/>
    <x v="0"/>
    <x v="2"/>
    <d v="2022-05-11T00:00:00"/>
    <d v="2022-06-17T00:00:00"/>
    <n v="378"/>
    <n v="3.8"/>
    <n v="1"/>
    <x v="1"/>
    <x v="7"/>
    <x v="7"/>
  </r>
  <r>
    <n v="9"/>
    <x v="8"/>
    <x v="6"/>
    <x v="1"/>
    <x v="0"/>
    <d v="2022-06-28T00:00:00"/>
    <d v="2023-04-09T00:00:00"/>
    <n v="120"/>
    <n v="4.7"/>
    <n v="1"/>
    <x v="1"/>
    <x v="8"/>
    <x v="8"/>
  </r>
  <r>
    <n v="10"/>
    <x v="9"/>
    <x v="0"/>
    <x v="0"/>
    <x v="0"/>
    <d v="2024-03-06T00:00:00"/>
    <d v="2025-01-16T00:00:00"/>
    <n v="224"/>
    <n v="1.4"/>
    <n v="1"/>
    <x v="1"/>
    <x v="9"/>
    <x v="9"/>
  </r>
  <r>
    <n v="11"/>
    <x v="10"/>
    <x v="7"/>
    <x v="1"/>
    <x v="0"/>
    <d v="2023-01-16T00:00:00"/>
    <d v="2023-05-22T00:00:00"/>
    <n v="218"/>
    <n v="1.3"/>
    <n v="1"/>
    <x v="1"/>
    <x v="10"/>
    <x v="10"/>
  </r>
  <r>
    <n v="12"/>
    <x v="11"/>
    <x v="8"/>
    <x v="1"/>
    <x v="2"/>
    <d v="2023-08-12T00:00:00"/>
    <d v="2023-09-15T00:00:00"/>
    <n v="191"/>
    <n v="1.2"/>
    <n v="0"/>
    <x v="0"/>
    <x v="11"/>
    <x v="11"/>
  </r>
  <r>
    <n v="13"/>
    <x v="12"/>
    <x v="9"/>
    <x v="1"/>
    <x v="2"/>
    <d v="2023-09-10T00:00:00"/>
    <d v="2024-02-07T00:00:00"/>
    <n v="319"/>
    <n v="4"/>
    <n v="0"/>
    <x v="0"/>
    <x v="12"/>
    <x v="12"/>
  </r>
  <r>
    <n v="14"/>
    <x v="13"/>
    <x v="10"/>
    <x v="1"/>
    <x v="1"/>
    <d v="2024-04-08T00:00:00"/>
    <d v="2025-02-02T00:00:00"/>
    <n v="80"/>
    <n v="2.1"/>
    <n v="0"/>
    <x v="0"/>
    <x v="13"/>
    <x v="13"/>
  </r>
  <r>
    <n v="15"/>
    <x v="14"/>
    <x v="11"/>
    <x v="0"/>
    <x v="1"/>
    <d v="2022-05-19T00:00:00"/>
    <d v="2022-06-19T00:00:00"/>
    <n v="50"/>
    <n v="4.5"/>
    <n v="0"/>
    <x v="0"/>
    <x v="7"/>
    <x v="14"/>
  </r>
  <r>
    <n v="16"/>
    <x v="15"/>
    <x v="12"/>
    <x v="1"/>
    <x v="2"/>
    <d v="2022-05-13T00:00:00"/>
    <d v="2023-04-19T00:00:00"/>
    <n v="400"/>
    <n v="5"/>
    <n v="1"/>
    <x v="1"/>
    <x v="7"/>
    <x v="15"/>
  </r>
  <r>
    <n v="17"/>
    <x v="16"/>
    <x v="13"/>
    <x v="0"/>
    <x v="2"/>
    <d v="2024-05-26T00:00:00"/>
    <d v="2025-03-13T00:00:00"/>
    <n v="358"/>
    <n v="1.9"/>
    <n v="1"/>
    <x v="1"/>
    <x v="0"/>
    <x v="16"/>
  </r>
  <r>
    <n v="18"/>
    <x v="17"/>
    <x v="14"/>
    <x v="0"/>
    <x v="0"/>
    <d v="2022-09-25T00:00:00"/>
    <d v="2023-05-04T00:00:00"/>
    <n v="344"/>
    <n v="2.9"/>
    <n v="0"/>
    <x v="0"/>
    <x v="14"/>
    <x v="17"/>
  </r>
  <r>
    <n v="19"/>
    <x v="18"/>
    <x v="6"/>
    <x v="1"/>
    <x v="1"/>
    <d v="2022-04-17T00:00:00"/>
    <d v="2022-12-06T00:00:00"/>
    <n v="190"/>
    <n v="4.7"/>
    <n v="0"/>
    <x v="0"/>
    <x v="1"/>
    <x v="18"/>
  </r>
  <r>
    <n v="20"/>
    <x v="19"/>
    <x v="15"/>
    <x v="1"/>
    <x v="2"/>
    <d v="2022-05-25T00:00:00"/>
    <d v="2022-07-17T00:00:00"/>
    <n v="220"/>
    <n v="1.3"/>
    <n v="0"/>
    <x v="0"/>
    <x v="7"/>
    <x v="19"/>
  </r>
  <r>
    <n v="21"/>
    <x v="20"/>
    <x v="16"/>
    <x v="1"/>
    <x v="2"/>
    <d v="2023-09-27T00:00:00"/>
    <d v="2023-10-11T00:00:00"/>
    <n v="184"/>
    <n v="1.7"/>
    <n v="0"/>
    <x v="0"/>
    <x v="12"/>
    <x v="20"/>
  </r>
  <r>
    <n v="22"/>
    <x v="21"/>
    <x v="17"/>
    <x v="1"/>
    <x v="0"/>
    <d v="2022-02-06T00:00:00"/>
    <d v="2022-03-19T00:00:00"/>
    <n v="219"/>
    <n v="1.9"/>
    <n v="1"/>
    <x v="1"/>
    <x v="15"/>
    <x v="21"/>
  </r>
  <r>
    <n v="23"/>
    <x v="22"/>
    <x v="18"/>
    <x v="1"/>
    <x v="1"/>
    <d v="2022-09-03T00:00:00"/>
    <d v="2023-03-18T00:00:00"/>
    <n v="140"/>
    <n v="4.2"/>
    <n v="0"/>
    <x v="0"/>
    <x v="14"/>
    <x v="22"/>
  </r>
  <r>
    <n v="24"/>
    <x v="23"/>
    <x v="12"/>
    <x v="0"/>
    <x v="1"/>
    <d v="2023-05-03T00:00:00"/>
    <d v="2024-01-20T00:00:00"/>
    <n v="420"/>
    <n v="1.2"/>
    <n v="1"/>
    <x v="1"/>
    <x v="16"/>
    <x v="23"/>
  </r>
  <r>
    <n v="25"/>
    <x v="24"/>
    <x v="16"/>
    <x v="0"/>
    <x v="2"/>
    <d v="2023-05-15T00:00:00"/>
    <d v="2023-08-09T00:00:00"/>
    <n v="390"/>
    <n v="1.4"/>
    <n v="1"/>
    <x v="1"/>
    <x v="16"/>
    <x v="24"/>
  </r>
  <r>
    <n v="26"/>
    <x v="25"/>
    <x v="2"/>
    <x v="0"/>
    <x v="2"/>
    <d v="2023-05-16T00:00:00"/>
    <d v="2024-02-22T00:00:00"/>
    <n v="148"/>
    <n v="3.6"/>
    <n v="1"/>
    <x v="1"/>
    <x v="16"/>
    <x v="25"/>
  </r>
  <r>
    <n v="27"/>
    <x v="26"/>
    <x v="0"/>
    <x v="0"/>
    <x v="0"/>
    <d v="2022-06-12T00:00:00"/>
    <d v="2023-02-26T00:00:00"/>
    <n v="96"/>
    <n v="1"/>
    <n v="0"/>
    <x v="0"/>
    <x v="8"/>
    <x v="26"/>
  </r>
  <r>
    <n v="28"/>
    <x v="27"/>
    <x v="19"/>
    <x v="0"/>
    <x v="1"/>
    <d v="2024-02-06T00:00:00"/>
    <d v="2024-03-09T00:00:00"/>
    <n v="357"/>
    <n v="2.2000000000000002"/>
    <n v="0"/>
    <x v="0"/>
    <x v="4"/>
    <x v="27"/>
  </r>
  <r>
    <n v="29"/>
    <x v="28"/>
    <x v="20"/>
    <x v="1"/>
    <x v="0"/>
    <d v="2023-04-12T00:00:00"/>
    <d v="2024-02-22T00:00:00"/>
    <n v="388"/>
    <n v="2"/>
    <n v="0"/>
    <x v="0"/>
    <x v="3"/>
    <x v="25"/>
  </r>
  <r>
    <n v="30"/>
    <x v="29"/>
    <x v="8"/>
    <x v="1"/>
    <x v="1"/>
    <d v="2022-05-30T00:00:00"/>
    <d v="2023-05-18T00:00:00"/>
    <n v="185"/>
    <n v="2.6"/>
    <n v="0"/>
    <x v="0"/>
    <x v="7"/>
    <x v="28"/>
  </r>
  <r>
    <n v="31"/>
    <x v="30"/>
    <x v="2"/>
    <x v="1"/>
    <x v="2"/>
    <d v="2024-05-26T00:00:00"/>
    <d v="2025-02-19T00:00:00"/>
    <n v="284"/>
    <n v="3.5"/>
    <n v="1"/>
    <x v="1"/>
    <x v="0"/>
    <x v="29"/>
  </r>
  <r>
    <n v="32"/>
    <x v="31"/>
    <x v="10"/>
    <x v="0"/>
    <x v="2"/>
    <d v="2022-09-28T00:00:00"/>
    <d v="2022-11-10T00:00:00"/>
    <n v="435"/>
    <n v="5"/>
    <n v="0"/>
    <x v="0"/>
    <x v="14"/>
    <x v="30"/>
  </r>
  <r>
    <n v="33"/>
    <x v="32"/>
    <x v="17"/>
    <x v="1"/>
    <x v="1"/>
    <d v="2022-05-21T00:00:00"/>
    <d v="2023-04-21T00:00:00"/>
    <n v="391"/>
    <n v="4.5999999999999996"/>
    <n v="0"/>
    <x v="0"/>
    <x v="7"/>
    <x v="31"/>
  </r>
  <r>
    <n v="34"/>
    <x v="33"/>
    <x v="2"/>
    <x v="0"/>
    <x v="0"/>
    <d v="2024-01-21T00:00:00"/>
    <d v="2024-12-22T00:00:00"/>
    <n v="96"/>
    <n v="2"/>
    <n v="1"/>
    <x v="1"/>
    <x v="6"/>
    <x v="32"/>
  </r>
  <r>
    <n v="35"/>
    <x v="34"/>
    <x v="21"/>
    <x v="0"/>
    <x v="2"/>
    <d v="2024-01-15T00:00:00"/>
    <d v="2024-04-30T00:00:00"/>
    <n v="84"/>
    <n v="2.1"/>
    <n v="1"/>
    <x v="1"/>
    <x v="6"/>
    <x v="33"/>
  </r>
  <r>
    <n v="36"/>
    <x v="35"/>
    <x v="22"/>
    <x v="1"/>
    <x v="0"/>
    <d v="2022-09-13T00:00:00"/>
    <d v="2022-12-15T00:00:00"/>
    <n v="94"/>
    <n v="1.4"/>
    <n v="1"/>
    <x v="1"/>
    <x v="14"/>
    <x v="34"/>
  </r>
  <r>
    <n v="37"/>
    <x v="36"/>
    <x v="23"/>
    <x v="0"/>
    <x v="1"/>
    <d v="2023-06-29T00:00:00"/>
    <d v="2024-06-18T00:00:00"/>
    <n v="205"/>
    <n v="1.7"/>
    <n v="1"/>
    <x v="1"/>
    <x v="17"/>
    <x v="35"/>
  </r>
  <r>
    <n v="38"/>
    <x v="37"/>
    <x v="24"/>
    <x v="1"/>
    <x v="0"/>
    <d v="2023-07-24T00:00:00"/>
    <d v="2024-05-18T00:00:00"/>
    <n v="160"/>
    <n v="1.3"/>
    <n v="0"/>
    <x v="0"/>
    <x v="2"/>
    <x v="36"/>
  </r>
  <r>
    <n v="39"/>
    <x v="38"/>
    <x v="25"/>
    <x v="0"/>
    <x v="2"/>
    <d v="2024-01-01T00:00:00"/>
    <d v="2024-10-18T00:00:00"/>
    <n v="88"/>
    <n v="3.6"/>
    <n v="1"/>
    <x v="1"/>
    <x v="6"/>
    <x v="37"/>
  </r>
  <r>
    <n v="40"/>
    <x v="39"/>
    <x v="19"/>
    <x v="0"/>
    <x v="0"/>
    <d v="2024-01-11T00:00:00"/>
    <d v="2024-02-19T00:00:00"/>
    <n v="283"/>
    <n v="2.4"/>
    <n v="0"/>
    <x v="0"/>
    <x v="6"/>
    <x v="38"/>
  </r>
  <r>
    <n v="41"/>
    <x v="40"/>
    <x v="10"/>
    <x v="1"/>
    <x v="0"/>
    <d v="2022-10-07T00:00:00"/>
    <d v="2022-11-04T00:00:00"/>
    <n v="233"/>
    <n v="3.3"/>
    <n v="1"/>
    <x v="1"/>
    <x v="18"/>
    <x v="39"/>
  </r>
  <r>
    <n v="42"/>
    <x v="41"/>
    <x v="26"/>
    <x v="1"/>
    <x v="0"/>
    <d v="2024-01-20T00:00:00"/>
    <d v="2024-12-31T00:00:00"/>
    <n v="249"/>
    <n v="4.4000000000000004"/>
    <n v="1"/>
    <x v="1"/>
    <x v="6"/>
    <x v="40"/>
  </r>
  <r>
    <n v="43"/>
    <x v="42"/>
    <x v="27"/>
    <x v="0"/>
    <x v="2"/>
    <d v="2023-11-04T00:00:00"/>
    <d v="2024-01-30T00:00:00"/>
    <n v="479"/>
    <n v="1.2"/>
    <n v="0"/>
    <x v="0"/>
    <x v="19"/>
    <x v="41"/>
  </r>
  <r>
    <n v="44"/>
    <x v="43"/>
    <x v="2"/>
    <x v="1"/>
    <x v="0"/>
    <d v="2023-02-17T00:00:00"/>
    <d v="2023-03-26T00:00:00"/>
    <n v="18"/>
    <n v="4.7"/>
    <n v="0"/>
    <x v="0"/>
    <x v="20"/>
    <x v="42"/>
  </r>
  <r>
    <n v="45"/>
    <x v="44"/>
    <x v="18"/>
    <x v="0"/>
    <x v="2"/>
    <d v="2023-12-17T00:00:00"/>
    <d v="2024-12-02T00:00:00"/>
    <n v="265"/>
    <n v="4.3"/>
    <n v="1"/>
    <x v="1"/>
    <x v="21"/>
    <x v="43"/>
  </r>
  <r>
    <n v="46"/>
    <x v="45"/>
    <x v="28"/>
    <x v="1"/>
    <x v="1"/>
    <d v="2022-01-25T00:00:00"/>
    <d v="2022-08-21T00:00:00"/>
    <n v="350"/>
    <n v="2.7"/>
    <n v="1"/>
    <x v="1"/>
    <x v="22"/>
    <x v="44"/>
  </r>
  <r>
    <n v="47"/>
    <x v="46"/>
    <x v="16"/>
    <x v="1"/>
    <x v="1"/>
    <d v="2022-01-04T00:00:00"/>
    <d v="2022-01-24T00:00:00"/>
    <n v="486"/>
    <n v="4.7"/>
    <n v="0"/>
    <x v="0"/>
    <x v="22"/>
    <x v="45"/>
  </r>
  <r>
    <n v="48"/>
    <x v="47"/>
    <x v="1"/>
    <x v="0"/>
    <x v="1"/>
    <d v="2022-12-31T00:00:00"/>
    <d v="2023-11-12T00:00:00"/>
    <n v="345"/>
    <n v="3.9"/>
    <n v="0"/>
    <x v="0"/>
    <x v="23"/>
    <x v="46"/>
  </r>
  <r>
    <n v="49"/>
    <x v="48"/>
    <x v="27"/>
    <x v="1"/>
    <x v="1"/>
    <d v="2023-03-27T00:00:00"/>
    <d v="2023-11-20T00:00:00"/>
    <n v="174"/>
    <n v="1"/>
    <n v="1"/>
    <x v="1"/>
    <x v="24"/>
    <x v="47"/>
  </r>
  <r>
    <n v="50"/>
    <x v="49"/>
    <x v="0"/>
    <x v="0"/>
    <x v="1"/>
    <d v="2023-05-04T00:00:00"/>
    <d v="2024-03-18T00:00:00"/>
    <n v="479"/>
    <n v="1.5"/>
    <n v="0"/>
    <x v="0"/>
    <x v="16"/>
    <x v="48"/>
  </r>
  <r>
    <n v="51"/>
    <x v="50"/>
    <x v="29"/>
    <x v="0"/>
    <x v="1"/>
    <d v="2022-11-03T00:00:00"/>
    <d v="2023-02-27T00:00:00"/>
    <n v="388"/>
    <n v="2.7"/>
    <n v="1"/>
    <x v="1"/>
    <x v="25"/>
    <x v="49"/>
  </r>
  <r>
    <n v="52"/>
    <x v="51"/>
    <x v="4"/>
    <x v="1"/>
    <x v="0"/>
    <d v="2023-05-18T00:00:00"/>
    <d v="2023-09-17T00:00:00"/>
    <n v="311"/>
    <n v="4"/>
    <n v="1"/>
    <x v="1"/>
    <x v="16"/>
    <x v="50"/>
  </r>
  <r>
    <n v="53"/>
    <x v="52"/>
    <x v="30"/>
    <x v="1"/>
    <x v="2"/>
    <d v="2024-05-06T00:00:00"/>
    <d v="2024-09-13T00:00:00"/>
    <n v="299"/>
    <n v="4.7"/>
    <n v="1"/>
    <x v="1"/>
    <x v="0"/>
    <x v="51"/>
  </r>
  <r>
    <n v="54"/>
    <x v="53"/>
    <x v="28"/>
    <x v="0"/>
    <x v="1"/>
    <d v="2022-08-06T00:00:00"/>
    <d v="2023-02-16T00:00:00"/>
    <n v="14"/>
    <n v="2.1"/>
    <n v="1"/>
    <x v="1"/>
    <x v="26"/>
    <x v="52"/>
  </r>
  <r>
    <n v="55"/>
    <x v="54"/>
    <x v="31"/>
    <x v="1"/>
    <x v="2"/>
    <d v="2022-12-01T00:00:00"/>
    <d v="2023-05-28T00:00:00"/>
    <n v="400"/>
    <n v="2.6"/>
    <n v="0"/>
    <x v="0"/>
    <x v="23"/>
    <x v="53"/>
  </r>
  <r>
    <n v="56"/>
    <x v="55"/>
    <x v="32"/>
    <x v="1"/>
    <x v="0"/>
    <d v="2023-10-01T00:00:00"/>
    <d v="2024-01-29T00:00:00"/>
    <n v="445"/>
    <n v="3"/>
    <n v="0"/>
    <x v="0"/>
    <x v="27"/>
    <x v="54"/>
  </r>
  <r>
    <n v="57"/>
    <x v="56"/>
    <x v="31"/>
    <x v="1"/>
    <x v="2"/>
    <d v="2023-10-18T00:00:00"/>
    <d v="2024-08-08T00:00:00"/>
    <n v="51"/>
    <n v="3"/>
    <n v="1"/>
    <x v="1"/>
    <x v="27"/>
    <x v="55"/>
  </r>
  <r>
    <n v="58"/>
    <x v="57"/>
    <x v="32"/>
    <x v="0"/>
    <x v="0"/>
    <d v="2022-11-20T00:00:00"/>
    <d v="2023-01-26T00:00:00"/>
    <n v="201"/>
    <n v="4.7"/>
    <n v="0"/>
    <x v="0"/>
    <x v="25"/>
    <x v="56"/>
  </r>
  <r>
    <n v="59"/>
    <x v="58"/>
    <x v="33"/>
    <x v="0"/>
    <x v="0"/>
    <d v="2023-10-03T00:00:00"/>
    <d v="2024-05-09T00:00:00"/>
    <n v="270"/>
    <n v="2.5"/>
    <n v="0"/>
    <x v="0"/>
    <x v="27"/>
    <x v="57"/>
  </r>
  <r>
    <n v="60"/>
    <x v="59"/>
    <x v="22"/>
    <x v="1"/>
    <x v="0"/>
    <d v="2024-05-12T00:00:00"/>
    <d v="2024-05-13T00:00:00"/>
    <n v="466"/>
    <n v="2"/>
    <n v="0"/>
    <x v="0"/>
    <x v="0"/>
    <x v="58"/>
  </r>
  <r>
    <n v="61"/>
    <x v="60"/>
    <x v="0"/>
    <x v="0"/>
    <x v="2"/>
    <d v="2023-04-29T00:00:00"/>
    <d v="2023-11-10T00:00:00"/>
    <n v="133"/>
    <n v="1.7"/>
    <n v="1"/>
    <x v="1"/>
    <x v="3"/>
    <x v="59"/>
  </r>
  <r>
    <n v="62"/>
    <x v="61"/>
    <x v="34"/>
    <x v="0"/>
    <x v="1"/>
    <d v="2023-11-27T00:00:00"/>
    <d v="2023-11-27T00:00:00"/>
    <n v="461"/>
    <n v="4.5"/>
    <n v="1"/>
    <x v="1"/>
    <x v="19"/>
    <x v="60"/>
  </r>
  <r>
    <n v="63"/>
    <x v="62"/>
    <x v="6"/>
    <x v="1"/>
    <x v="1"/>
    <d v="2022-07-18T00:00:00"/>
    <d v="2023-03-14T00:00:00"/>
    <n v="168"/>
    <n v="4.5999999999999996"/>
    <n v="1"/>
    <x v="1"/>
    <x v="28"/>
    <x v="61"/>
  </r>
  <r>
    <n v="64"/>
    <x v="63"/>
    <x v="6"/>
    <x v="0"/>
    <x v="2"/>
    <d v="2024-01-04T00:00:00"/>
    <d v="2024-06-08T00:00:00"/>
    <n v="199"/>
    <n v="4.4000000000000004"/>
    <n v="0"/>
    <x v="0"/>
    <x v="6"/>
    <x v="62"/>
  </r>
  <r>
    <n v="65"/>
    <x v="64"/>
    <x v="10"/>
    <x v="0"/>
    <x v="2"/>
    <d v="2023-07-14T00:00:00"/>
    <d v="2023-09-07T00:00:00"/>
    <n v="81"/>
    <n v="4.5999999999999996"/>
    <n v="1"/>
    <x v="1"/>
    <x v="2"/>
    <x v="63"/>
  </r>
  <r>
    <n v="66"/>
    <x v="65"/>
    <x v="8"/>
    <x v="0"/>
    <x v="1"/>
    <d v="2024-02-12T00:00:00"/>
    <d v="2024-12-21T00:00:00"/>
    <n v="459"/>
    <n v="2.4"/>
    <n v="0"/>
    <x v="0"/>
    <x v="4"/>
    <x v="64"/>
  </r>
  <r>
    <n v="67"/>
    <x v="66"/>
    <x v="35"/>
    <x v="1"/>
    <x v="1"/>
    <d v="2022-05-02T00:00:00"/>
    <d v="2022-06-21T00:00:00"/>
    <n v="499"/>
    <n v="1.8"/>
    <n v="0"/>
    <x v="0"/>
    <x v="7"/>
    <x v="65"/>
  </r>
  <r>
    <n v="68"/>
    <x v="67"/>
    <x v="36"/>
    <x v="0"/>
    <x v="2"/>
    <d v="2022-09-25T00:00:00"/>
    <d v="2023-08-01T00:00:00"/>
    <n v="339"/>
    <n v="4"/>
    <n v="0"/>
    <x v="0"/>
    <x v="14"/>
    <x v="66"/>
  </r>
  <r>
    <n v="69"/>
    <x v="68"/>
    <x v="1"/>
    <x v="0"/>
    <x v="0"/>
    <d v="2024-02-08T00:00:00"/>
    <d v="2024-08-23T00:00:00"/>
    <n v="467"/>
    <n v="2.4"/>
    <n v="0"/>
    <x v="0"/>
    <x v="4"/>
    <x v="67"/>
  </r>
  <r>
    <n v="70"/>
    <x v="69"/>
    <x v="37"/>
    <x v="0"/>
    <x v="1"/>
    <d v="2023-05-05T00:00:00"/>
    <d v="2023-07-22T00:00:00"/>
    <n v="202"/>
    <n v="1.6"/>
    <n v="0"/>
    <x v="0"/>
    <x v="16"/>
    <x v="68"/>
  </r>
  <r>
    <n v="71"/>
    <x v="70"/>
    <x v="14"/>
    <x v="0"/>
    <x v="1"/>
    <d v="2022-02-13T00:00:00"/>
    <d v="2022-12-27T00:00:00"/>
    <n v="21"/>
    <n v="3.3"/>
    <n v="0"/>
    <x v="0"/>
    <x v="15"/>
    <x v="69"/>
  </r>
  <r>
    <n v="72"/>
    <x v="71"/>
    <x v="26"/>
    <x v="0"/>
    <x v="1"/>
    <d v="2023-08-31T00:00:00"/>
    <d v="2024-07-10T00:00:00"/>
    <n v="398"/>
    <n v="1.6"/>
    <n v="0"/>
    <x v="0"/>
    <x v="11"/>
    <x v="70"/>
  </r>
  <r>
    <n v="73"/>
    <x v="72"/>
    <x v="20"/>
    <x v="0"/>
    <x v="2"/>
    <d v="2022-10-17T00:00:00"/>
    <d v="2023-07-01T00:00:00"/>
    <n v="394"/>
    <n v="1.9"/>
    <n v="1"/>
    <x v="1"/>
    <x v="18"/>
    <x v="71"/>
  </r>
  <r>
    <n v="74"/>
    <x v="73"/>
    <x v="29"/>
    <x v="0"/>
    <x v="2"/>
    <d v="2023-03-05T00:00:00"/>
    <d v="2024-01-07T00:00:00"/>
    <n v="15"/>
    <n v="2.9"/>
    <n v="1"/>
    <x v="1"/>
    <x v="24"/>
    <x v="72"/>
  </r>
  <r>
    <n v="75"/>
    <x v="74"/>
    <x v="22"/>
    <x v="1"/>
    <x v="0"/>
    <d v="2022-01-24T00:00:00"/>
    <d v="2022-11-11T00:00:00"/>
    <n v="466"/>
    <n v="3.3"/>
    <n v="1"/>
    <x v="1"/>
    <x v="22"/>
    <x v="73"/>
  </r>
  <r>
    <n v="76"/>
    <x v="75"/>
    <x v="38"/>
    <x v="0"/>
    <x v="1"/>
    <d v="2023-01-17T00:00:00"/>
    <d v="2023-04-08T00:00:00"/>
    <n v="239"/>
    <n v="4.4000000000000004"/>
    <n v="1"/>
    <x v="1"/>
    <x v="10"/>
    <x v="74"/>
  </r>
  <r>
    <n v="77"/>
    <x v="76"/>
    <x v="20"/>
    <x v="0"/>
    <x v="2"/>
    <d v="2022-12-11T00:00:00"/>
    <d v="2023-06-25T00:00:00"/>
    <n v="470"/>
    <n v="2.7"/>
    <n v="1"/>
    <x v="1"/>
    <x v="23"/>
    <x v="75"/>
  </r>
  <r>
    <n v="78"/>
    <x v="77"/>
    <x v="39"/>
    <x v="0"/>
    <x v="0"/>
    <d v="2022-04-03T00:00:00"/>
    <d v="2022-07-13T00:00:00"/>
    <n v="482"/>
    <n v="1.2"/>
    <n v="1"/>
    <x v="1"/>
    <x v="1"/>
    <x v="76"/>
  </r>
  <r>
    <n v="79"/>
    <x v="78"/>
    <x v="9"/>
    <x v="1"/>
    <x v="0"/>
    <d v="2023-11-09T00:00:00"/>
    <d v="2024-01-21T00:00:00"/>
    <n v="481"/>
    <n v="4.3"/>
    <n v="0"/>
    <x v="0"/>
    <x v="19"/>
    <x v="77"/>
  </r>
  <r>
    <n v="80"/>
    <x v="79"/>
    <x v="4"/>
    <x v="0"/>
    <x v="2"/>
    <d v="2024-06-05T00:00:00"/>
    <d v="2025-01-19T00:00:00"/>
    <n v="75"/>
    <n v="4.9000000000000004"/>
    <n v="1"/>
    <x v="1"/>
    <x v="29"/>
    <x v="78"/>
  </r>
  <r>
    <n v="81"/>
    <x v="80"/>
    <x v="19"/>
    <x v="0"/>
    <x v="1"/>
    <d v="2023-09-06T00:00:00"/>
    <d v="2024-05-31T00:00:00"/>
    <n v="11"/>
    <n v="4.5"/>
    <n v="0"/>
    <x v="0"/>
    <x v="12"/>
    <x v="79"/>
  </r>
  <r>
    <n v="82"/>
    <x v="81"/>
    <x v="22"/>
    <x v="0"/>
    <x v="0"/>
    <d v="2022-08-20T00:00:00"/>
    <d v="2023-01-16T00:00:00"/>
    <n v="465"/>
    <n v="4.7"/>
    <n v="0"/>
    <x v="0"/>
    <x v="26"/>
    <x v="80"/>
  </r>
  <r>
    <n v="83"/>
    <x v="82"/>
    <x v="40"/>
    <x v="1"/>
    <x v="2"/>
    <d v="2023-01-18T00:00:00"/>
    <d v="2023-09-12T00:00:00"/>
    <n v="236"/>
    <n v="2.4"/>
    <n v="1"/>
    <x v="1"/>
    <x v="10"/>
    <x v="81"/>
  </r>
  <r>
    <n v="84"/>
    <x v="83"/>
    <x v="32"/>
    <x v="1"/>
    <x v="1"/>
    <d v="2022-10-14T00:00:00"/>
    <d v="2023-08-16T00:00:00"/>
    <n v="96"/>
    <n v="3.9"/>
    <n v="0"/>
    <x v="0"/>
    <x v="18"/>
    <x v="82"/>
  </r>
  <r>
    <n v="85"/>
    <x v="84"/>
    <x v="20"/>
    <x v="0"/>
    <x v="0"/>
    <d v="2022-11-21T00:00:00"/>
    <d v="2023-08-15T00:00:00"/>
    <n v="7"/>
    <n v="3.4"/>
    <n v="1"/>
    <x v="1"/>
    <x v="25"/>
    <x v="83"/>
  </r>
  <r>
    <n v="86"/>
    <x v="85"/>
    <x v="16"/>
    <x v="0"/>
    <x v="1"/>
    <d v="2024-03-09T00:00:00"/>
    <d v="2025-02-24T00:00:00"/>
    <n v="18"/>
    <n v="3.6"/>
    <n v="0"/>
    <x v="0"/>
    <x v="9"/>
    <x v="84"/>
  </r>
  <r>
    <n v="87"/>
    <x v="86"/>
    <x v="4"/>
    <x v="1"/>
    <x v="2"/>
    <d v="2023-03-18T00:00:00"/>
    <d v="2024-03-14T00:00:00"/>
    <n v="458"/>
    <n v="1.4"/>
    <n v="0"/>
    <x v="0"/>
    <x v="24"/>
    <x v="85"/>
  </r>
  <r>
    <n v="88"/>
    <x v="87"/>
    <x v="34"/>
    <x v="1"/>
    <x v="2"/>
    <d v="2024-02-08T00:00:00"/>
    <d v="2024-06-08T00:00:00"/>
    <n v="267"/>
    <n v="4.0999999999999996"/>
    <n v="0"/>
    <x v="0"/>
    <x v="4"/>
    <x v="62"/>
  </r>
  <r>
    <n v="89"/>
    <x v="88"/>
    <x v="15"/>
    <x v="0"/>
    <x v="2"/>
    <d v="2024-04-27T00:00:00"/>
    <d v="2025-04-03T00:00:00"/>
    <n v="242"/>
    <n v="1.1000000000000001"/>
    <n v="0"/>
    <x v="0"/>
    <x v="13"/>
    <x v="86"/>
  </r>
  <r>
    <n v="90"/>
    <x v="89"/>
    <x v="24"/>
    <x v="1"/>
    <x v="2"/>
    <d v="2024-06-10T00:00:00"/>
    <d v="2024-09-03T00:00:00"/>
    <n v="177"/>
    <n v="2.8"/>
    <n v="1"/>
    <x v="1"/>
    <x v="29"/>
    <x v="87"/>
  </r>
  <r>
    <n v="91"/>
    <x v="90"/>
    <x v="35"/>
    <x v="1"/>
    <x v="1"/>
    <d v="2023-06-01T00:00:00"/>
    <d v="2024-04-16T00:00:00"/>
    <n v="457"/>
    <n v="1.4"/>
    <n v="1"/>
    <x v="1"/>
    <x v="17"/>
    <x v="88"/>
  </r>
  <r>
    <n v="92"/>
    <x v="91"/>
    <x v="41"/>
    <x v="1"/>
    <x v="2"/>
    <d v="2022-03-08T00:00:00"/>
    <d v="2022-03-09T00:00:00"/>
    <n v="328"/>
    <n v="2.4"/>
    <n v="1"/>
    <x v="1"/>
    <x v="5"/>
    <x v="89"/>
  </r>
  <r>
    <n v="93"/>
    <x v="92"/>
    <x v="37"/>
    <x v="1"/>
    <x v="0"/>
    <d v="2024-03-01T00:00:00"/>
    <d v="2024-05-07T00:00:00"/>
    <n v="387"/>
    <n v="3.2"/>
    <n v="1"/>
    <x v="1"/>
    <x v="9"/>
    <x v="90"/>
  </r>
  <r>
    <n v="94"/>
    <x v="93"/>
    <x v="8"/>
    <x v="0"/>
    <x v="1"/>
    <d v="2023-06-06T00:00:00"/>
    <d v="2023-12-12T00:00:00"/>
    <n v="78"/>
    <n v="3.1"/>
    <n v="1"/>
    <x v="1"/>
    <x v="17"/>
    <x v="91"/>
  </r>
  <r>
    <n v="95"/>
    <x v="94"/>
    <x v="1"/>
    <x v="0"/>
    <x v="1"/>
    <d v="2024-01-17T00:00:00"/>
    <d v="2024-04-22T00:00:00"/>
    <n v="447"/>
    <n v="1.5"/>
    <n v="1"/>
    <x v="1"/>
    <x v="6"/>
    <x v="92"/>
  </r>
  <r>
    <n v="96"/>
    <x v="95"/>
    <x v="38"/>
    <x v="1"/>
    <x v="1"/>
    <d v="2024-03-05T00:00:00"/>
    <d v="2024-07-11T00:00:00"/>
    <n v="239"/>
    <n v="3.8"/>
    <n v="1"/>
    <x v="1"/>
    <x v="9"/>
    <x v="93"/>
  </r>
  <r>
    <n v="97"/>
    <x v="96"/>
    <x v="6"/>
    <x v="1"/>
    <x v="0"/>
    <d v="2024-01-03T00:00:00"/>
    <d v="2024-06-20T00:00:00"/>
    <n v="309"/>
    <n v="2.2999999999999998"/>
    <n v="0"/>
    <x v="0"/>
    <x v="6"/>
    <x v="94"/>
  </r>
  <r>
    <n v="98"/>
    <x v="97"/>
    <x v="36"/>
    <x v="1"/>
    <x v="1"/>
    <d v="2024-05-26T00:00:00"/>
    <d v="2024-07-15T00:00:00"/>
    <n v="172"/>
    <n v="2.2000000000000002"/>
    <n v="0"/>
    <x v="0"/>
    <x v="0"/>
    <x v="95"/>
  </r>
  <r>
    <n v="99"/>
    <x v="98"/>
    <x v="38"/>
    <x v="1"/>
    <x v="0"/>
    <d v="2022-11-28T00:00:00"/>
    <d v="2023-10-07T00:00:00"/>
    <n v="211"/>
    <n v="1.9"/>
    <n v="1"/>
    <x v="1"/>
    <x v="25"/>
    <x v="96"/>
  </r>
  <r>
    <n v="100"/>
    <x v="99"/>
    <x v="23"/>
    <x v="0"/>
    <x v="0"/>
    <d v="2022-09-02T00:00:00"/>
    <d v="2023-05-06T00:00:00"/>
    <n v="6"/>
    <n v="3.9"/>
    <n v="0"/>
    <x v="0"/>
    <x v="14"/>
    <x v="97"/>
  </r>
  <r>
    <n v="101"/>
    <x v="100"/>
    <x v="17"/>
    <x v="1"/>
    <x v="2"/>
    <d v="2022-09-21T00:00:00"/>
    <d v="2023-06-20T00:00:00"/>
    <n v="385"/>
    <n v="2.1"/>
    <n v="1"/>
    <x v="1"/>
    <x v="14"/>
    <x v="98"/>
  </r>
  <r>
    <n v="102"/>
    <x v="101"/>
    <x v="27"/>
    <x v="1"/>
    <x v="2"/>
    <d v="2023-06-27T00:00:00"/>
    <d v="2024-04-19T00:00:00"/>
    <n v="441"/>
    <n v="4.5"/>
    <n v="0"/>
    <x v="0"/>
    <x v="17"/>
    <x v="99"/>
  </r>
  <r>
    <n v="103"/>
    <x v="102"/>
    <x v="7"/>
    <x v="0"/>
    <x v="2"/>
    <d v="2023-12-03T00:00:00"/>
    <d v="2024-09-11T00:00:00"/>
    <n v="465"/>
    <n v="3.8"/>
    <n v="1"/>
    <x v="1"/>
    <x v="21"/>
    <x v="100"/>
  </r>
  <r>
    <n v="104"/>
    <x v="103"/>
    <x v="41"/>
    <x v="1"/>
    <x v="1"/>
    <d v="2024-05-05T00:00:00"/>
    <d v="2025-01-21T00:00:00"/>
    <n v="2"/>
    <n v="4.0999999999999996"/>
    <n v="1"/>
    <x v="1"/>
    <x v="0"/>
    <x v="101"/>
  </r>
  <r>
    <n v="105"/>
    <x v="104"/>
    <x v="27"/>
    <x v="1"/>
    <x v="2"/>
    <d v="2022-09-27T00:00:00"/>
    <d v="2022-10-06T00:00:00"/>
    <n v="28"/>
    <n v="4"/>
    <n v="0"/>
    <x v="0"/>
    <x v="14"/>
    <x v="102"/>
  </r>
  <r>
    <n v="106"/>
    <x v="105"/>
    <x v="3"/>
    <x v="0"/>
    <x v="2"/>
    <d v="2022-09-08T00:00:00"/>
    <d v="2023-08-07T00:00:00"/>
    <n v="362"/>
    <n v="4.3"/>
    <n v="1"/>
    <x v="1"/>
    <x v="14"/>
    <x v="103"/>
  </r>
  <r>
    <n v="107"/>
    <x v="106"/>
    <x v="31"/>
    <x v="0"/>
    <x v="1"/>
    <d v="2023-03-01T00:00:00"/>
    <d v="2024-02-11T00:00:00"/>
    <n v="94"/>
    <n v="2.7"/>
    <n v="1"/>
    <x v="1"/>
    <x v="24"/>
    <x v="104"/>
  </r>
  <r>
    <n v="108"/>
    <x v="107"/>
    <x v="11"/>
    <x v="0"/>
    <x v="0"/>
    <d v="2022-06-29T00:00:00"/>
    <d v="2023-06-11T00:00:00"/>
    <n v="52"/>
    <n v="4.9000000000000004"/>
    <n v="0"/>
    <x v="0"/>
    <x v="8"/>
    <x v="105"/>
  </r>
  <r>
    <n v="109"/>
    <x v="108"/>
    <x v="33"/>
    <x v="1"/>
    <x v="0"/>
    <d v="2024-05-31T00:00:00"/>
    <d v="2024-08-05T00:00:00"/>
    <n v="164"/>
    <n v="4.3"/>
    <n v="1"/>
    <x v="1"/>
    <x v="0"/>
    <x v="106"/>
  </r>
  <r>
    <n v="110"/>
    <x v="109"/>
    <x v="42"/>
    <x v="0"/>
    <x v="2"/>
    <d v="2024-06-09T00:00:00"/>
    <d v="2024-07-24T00:00:00"/>
    <n v="365"/>
    <n v="3.7"/>
    <n v="1"/>
    <x v="1"/>
    <x v="29"/>
    <x v="107"/>
  </r>
  <r>
    <n v="111"/>
    <x v="110"/>
    <x v="43"/>
    <x v="0"/>
    <x v="2"/>
    <d v="2022-06-15T00:00:00"/>
    <d v="2023-04-01T00:00:00"/>
    <n v="161"/>
    <n v="4.2"/>
    <n v="0"/>
    <x v="0"/>
    <x v="8"/>
    <x v="108"/>
  </r>
  <r>
    <n v="112"/>
    <x v="111"/>
    <x v="30"/>
    <x v="0"/>
    <x v="1"/>
    <d v="2023-02-01T00:00:00"/>
    <d v="2023-05-03T00:00:00"/>
    <n v="184"/>
    <n v="4.8"/>
    <n v="1"/>
    <x v="1"/>
    <x v="20"/>
    <x v="109"/>
  </r>
  <r>
    <n v="113"/>
    <x v="112"/>
    <x v="15"/>
    <x v="1"/>
    <x v="0"/>
    <d v="2024-02-27T00:00:00"/>
    <d v="2024-06-30T00:00:00"/>
    <n v="187"/>
    <n v="2"/>
    <n v="1"/>
    <x v="1"/>
    <x v="4"/>
    <x v="110"/>
  </r>
  <r>
    <n v="114"/>
    <x v="113"/>
    <x v="42"/>
    <x v="0"/>
    <x v="1"/>
    <d v="2023-01-20T00:00:00"/>
    <d v="2024-01-17T00:00:00"/>
    <n v="330"/>
    <n v="1.2"/>
    <n v="1"/>
    <x v="1"/>
    <x v="10"/>
    <x v="111"/>
  </r>
  <r>
    <n v="115"/>
    <x v="114"/>
    <x v="25"/>
    <x v="1"/>
    <x v="2"/>
    <d v="2023-01-01T00:00:00"/>
    <d v="2023-07-02T00:00:00"/>
    <n v="182"/>
    <n v="2.1"/>
    <n v="0"/>
    <x v="0"/>
    <x v="10"/>
    <x v="112"/>
  </r>
  <r>
    <n v="116"/>
    <x v="115"/>
    <x v="26"/>
    <x v="1"/>
    <x v="2"/>
    <d v="2023-03-14T00:00:00"/>
    <d v="2024-02-16T00:00:00"/>
    <n v="35"/>
    <n v="3.6"/>
    <n v="1"/>
    <x v="1"/>
    <x v="24"/>
    <x v="113"/>
  </r>
  <r>
    <n v="117"/>
    <x v="116"/>
    <x v="44"/>
    <x v="0"/>
    <x v="2"/>
    <d v="2023-09-22T00:00:00"/>
    <d v="2024-02-24T00:00:00"/>
    <n v="81"/>
    <n v="3.6"/>
    <n v="0"/>
    <x v="0"/>
    <x v="12"/>
    <x v="114"/>
  </r>
  <r>
    <n v="118"/>
    <x v="117"/>
    <x v="31"/>
    <x v="1"/>
    <x v="2"/>
    <d v="2024-02-08T00:00:00"/>
    <d v="2024-12-10T00:00:00"/>
    <n v="261"/>
    <n v="4.5"/>
    <n v="0"/>
    <x v="0"/>
    <x v="4"/>
    <x v="115"/>
  </r>
  <r>
    <n v="119"/>
    <x v="118"/>
    <x v="21"/>
    <x v="1"/>
    <x v="2"/>
    <d v="2023-11-03T00:00:00"/>
    <d v="2024-09-09T00:00:00"/>
    <n v="421"/>
    <n v="4.9000000000000004"/>
    <n v="1"/>
    <x v="1"/>
    <x v="19"/>
    <x v="116"/>
  </r>
  <r>
    <n v="120"/>
    <x v="119"/>
    <x v="34"/>
    <x v="1"/>
    <x v="1"/>
    <d v="2022-11-21T00:00:00"/>
    <d v="2023-09-24T00:00:00"/>
    <n v="280"/>
    <n v="4.9000000000000004"/>
    <n v="0"/>
    <x v="0"/>
    <x v="25"/>
    <x v="117"/>
  </r>
  <r>
    <n v="121"/>
    <x v="120"/>
    <x v="30"/>
    <x v="0"/>
    <x v="1"/>
    <d v="2023-03-18T00:00:00"/>
    <d v="2024-02-05T00:00:00"/>
    <n v="280"/>
    <n v="2.6"/>
    <n v="0"/>
    <x v="0"/>
    <x v="24"/>
    <x v="118"/>
  </r>
  <r>
    <n v="122"/>
    <x v="121"/>
    <x v="15"/>
    <x v="1"/>
    <x v="2"/>
    <d v="2024-02-04T00:00:00"/>
    <d v="2024-07-28T00:00:00"/>
    <n v="256"/>
    <n v="3.6"/>
    <n v="0"/>
    <x v="0"/>
    <x v="4"/>
    <x v="119"/>
  </r>
  <r>
    <n v="123"/>
    <x v="122"/>
    <x v="5"/>
    <x v="0"/>
    <x v="2"/>
    <d v="2023-03-22T00:00:00"/>
    <d v="2023-08-24T00:00:00"/>
    <n v="200"/>
    <n v="4.3"/>
    <n v="0"/>
    <x v="0"/>
    <x v="24"/>
    <x v="120"/>
  </r>
  <r>
    <n v="124"/>
    <x v="123"/>
    <x v="11"/>
    <x v="1"/>
    <x v="2"/>
    <d v="2022-01-13T00:00:00"/>
    <d v="2022-12-27T00:00:00"/>
    <n v="268"/>
    <n v="4.7"/>
    <n v="0"/>
    <x v="0"/>
    <x v="22"/>
    <x v="69"/>
  </r>
  <r>
    <n v="125"/>
    <x v="124"/>
    <x v="36"/>
    <x v="1"/>
    <x v="2"/>
    <d v="2023-07-15T00:00:00"/>
    <d v="2024-03-29T00:00:00"/>
    <n v="93"/>
    <n v="2.9"/>
    <n v="1"/>
    <x v="1"/>
    <x v="2"/>
    <x v="121"/>
  </r>
  <r>
    <n v="126"/>
    <x v="125"/>
    <x v="10"/>
    <x v="0"/>
    <x v="2"/>
    <d v="2022-01-25T00:00:00"/>
    <d v="2022-08-11T00:00:00"/>
    <n v="25"/>
    <n v="2.6"/>
    <n v="1"/>
    <x v="1"/>
    <x v="22"/>
    <x v="122"/>
  </r>
  <r>
    <n v="127"/>
    <x v="126"/>
    <x v="1"/>
    <x v="1"/>
    <x v="0"/>
    <d v="2024-06-07T00:00:00"/>
    <d v="2024-10-22T00:00:00"/>
    <n v="205"/>
    <n v="4.3"/>
    <n v="0"/>
    <x v="0"/>
    <x v="29"/>
    <x v="123"/>
  </r>
  <r>
    <n v="128"/>
    <x v="127"/>
    <x v="42"/>
    <x v="1"/>
    <x v="0"/>
    <d v="2024-02-04T00:00:00"/>
    <d v="2024-05-22T00:00:00"/>
    <n v="42"/>
    <n v="2.9"/>
    <n v="0"/>
    <x v="0"/>
    <x v="4"/>
    <x v="124"/>
  </r>
  <r>
    <n v="129"/>
    <x v="128"/>
    <x v="42"/>
    <x v="1"/>
    <x v="0"/>
    <d v="2023-05-31T00:00:00"/>
    <d v="2023-08-27T00:00:00"/>
    <n v="54"/>
    <n v="1.3"/>
    <n v="1"/>
    <x v="1"/>
    <x v="16"/>
    <x v="125"/>
  </r>
  <r>
    <n v="130"/>
    <x v="129"/>
    <x v="32"/>
    <x v="0"/>
    <x v="2"/>
    <d v="2022-03-09T00:00:00"/>
    <d v="2022-09-26T00:00:00"/>
    <n v="345"/>
    <n v="4.8"/>
    <n v="0"/>
    <x v="0"/>
    <x v="5"/>
    <x v="126"/>
  </r>
  <r>
    <n v="131"/>
    <x v="130"/>
    <x v="2"/>
    <x v="1"/>
    <x v="0"/>
    <d v="2022-08-21T00:00:00"/>
    <d v="2022-12-22T00:00:00"/>
    <n v="64"/>
    <n v="4.5"/>
    <n v="1"/>
    <x v="1"/>
    <x v="26"/>
    <x v="127"/>
  </r>
  <r>
    <n v="132"/>
    <x v="131"/>
    <x v="12"/>
    <x v="1"/>
    <x v="1"/>
    <d v="2023-07-13T00:00:00"/>
    <d v="2024-04-29T00:00:00"/>
    <n v="425"/>
    <n v="4.0999999999999996"/>
    <n v="1"/>
    <x v="1"/>
    <x v="2"/>
    <x v="128"/>
  </r>
  <r>
    <n v="133"/>
    <x v="132"/>
    <x v="22"/>
    <x v="1"/>
    <x v="2"/>
    <d v="2022-01-22T00:00:00"/>
    <d v="2022-03-16T00:00:00"/>
    <n v="217"/>
    <n v="1.5"/>
    <n v="0"/>
    <x v="0"/>
    <x v="22"/>
    <x v="129"/>
  </r>
  <r>
    <n v="134"/>
    <x v="133"/>
    <x v="44"/>
    <x v="0"/>
    <x v="1"/>
    <d v="2023-06-13T00:00:00"/>
    <d v="2023-12-08T00:00:00"/>
    <n v="194"/>
    <n v="4.8"/>
    <n v="0"/>
    <x v="0"/>
    <x v="17"/>
    <x v="130"/>
  </r>
  <r>
    <n v="135"/>
    <x v="134"/>
    <x v="9"/>
    <x v="1"/>
    <x v="2"/>
    <d v="2024-03-03T00:00:00"/>
    <d v="2024-06-13T00:00:00"/>
    <n v="369"/>
    <n v="2.5"/>
    <n v="1"/>
    <x v="1"/>
    <x v="9"/>
    <x v="131"/>
  </r>
  <r>
    <n v="136"/>
    <x v="135"/>
    <x v="23"/>
    <x v="1"/>
    <x v="1"/>
    <d v="2022-02-18T00:00:00"/>
    <d v="2022-06-22T00:00:00"/>
    <n v="143"/>
    <n v="4.5999999999999996"/>
    <n v="0"/>
    <x v="0"/>
    <x v="15"/>
    <x v="132"/>
  </r>
  <r>
    <n v="137"/>
    <x v="136"/>
    <x v="41"/>
    <x v="0"/>
    <x v="2"/>
    <d v="2022-07-08T00:00:00"/>
    <d v="2022-07-14T00:00:00"/>
    <n v="114"/>
    <n v="1.7"/>
    <n v="1"/>
    <x v="1"/>
    <x v="28"/>
    <x v="133"/>
  </r>
  <r>
    <n v="138"/>
    <x v="137"/>
    <x v="12"/>
    <x v="0"/>
    <x v="1"/>
    <d v="2023-12-03T00:00:00"/>
    <d v="2024-04-12T00:00:00"/>
    <n v="337"/>
    <n v="3.3"/>
    <n v="1"/>
    <x v="1"/>
    <x v="21"/>
    <x v="134"/>
  </r>
  <r>
    <n v="139"/>
    <x v="138"/>
    <x v="41"/>
    <x v="0"/>
    <x v="1"/>
    <d v="2023-10-05T00:00:00"/>
    <d v="2024-06-28T00:00:00"/>
    <n v="249"/>
    <n v="4.7"/>
    <n v="1"/>
    <x v="1"/>
    <x v="27"/>
    <x v="135"/>
  </r>
  <r>
    <n v="140"/>
    <x v="139"/>
    <x v="5"/>
    <x v="0"/>
    <x v="1"/>
    <d v="2023-04-11T00:00:00"/>
    <d v="2023-07-30T00:00:00"/>
    <n v="228"/>
    <n v="3.5"/>
    <n v="0"/>
    <x v="0"/>
    <x v="3"/>
    <x v="136"/>
  </r>
  <r>
    <n v="141"/>
    <x v="140"/>
    <x v="21"/>
    <x v="1"/>
    <x v="1"/>
    <d v="2023-03-07T00:00:00"/>
    <d v="2023-12-07T00:00:00"/>
    <n v="406"/>
    <n v="2.2999999999999998"/>
    <n v="0"/>
    <x v="0"/>
    <x v="24"/>
    <x v="137"/>
  </r>
  <r>
    <n v="142"/>
    <x v="141"/>
    <x v="44"/>
    <x v="0"/>
    <x v="2"/>
    <d v="2023-04-01T00:00:00"/>
    <d v="2023-09-07T00:00:00"/>
    <n v="494"/>
    <n v="2.2999999999999998"/>
    <n v="1"/>
    <x v="1"/>
    <x v="3"/>
    <x v="63"/>
  </r>
  <r>
    <n v="143"/>
    <x v="142"/>
    <x v="41"/>
    <x v="0"/>
    <x v="1"/>
    <d v="2023-06-22T00:00:00"/>
    <d v="2023-10-03T00:00:00"/>
    <n v="416"/>
    <n v="2.5"/>
    <n v="1"/>
    <x v="1"/>
    <x v="17"/>
    <x v="138"/>
  </r>
  <r>
    <n v="144"/>
    <x v="143"/>
    <x v="9"/>
    <x v="0"/>
    <x v="2"/>
    <d v="2023-10-18T00:00:00"/>
    <d v="2023-12-23T00:00:00"/>
    <n v="292"/>
    <n v="1.4"/>
    <n v="1"/>
    <x v="1"/>
    <x v="27"/>
    <x v="139"/>
  </r>
  <r>
    <n v="145"/>
    <x v="144"/>
    <x v="5"/>
    <x v="0"/>
    <x v="2"/>
    <d v="2022-03-01T00:00:00"/>
    <d v="2022-08-25T00:00:00"/>
    <n v="181"/>
    <n v="4.5999999999999996"/>
    <n v="1"/>
    <x v="1"/>
    <x v="5"/>
    <x v="140"/>
  </r>
  <r>
    <n v="146"/>
    <x v="145"/>
    <x v="34"/>
    <x v="0"/>
    <x v="1"/>
    <d v="2023-10-10T00:00:00"/>
    <d v="2024-01-17T00:00:00"/>
    <n v="289"/>
    <n v="4.8"/>
    <n v="0"/>
    <x v="0"/>
    <x v="27"/>
    <x v="111"/>
  </r>
  <r>
    <n v="147"/>
    <x v="146"/>
    <x v="40"/>
    <x v="0"/>
    <x v="0"/>
    <d v="2023-04-11T00:00:00"/>
    <d v="2024-01-27T00:00:00"/>
    <n v="328"/>
    <n v="1.8"/>
    <n v="1"/>
    <x v="1"/>
    <x v="3"/>
    <x v="141"/>
  </r>
  <r>
    <n v="148"/>
    <x v="147"/>
    <x v="5"/>
    <x v="1"/>
    <x v="2"/>
    <d v="2022-07-06T00:00:00"/>
    <d v="2022-11-17T00:00:00"/>
    <n v="46"/>
    <n v="3.8"/>
    <n v="1"/>
    <x v="1"/>
    <x v="28"/>
    <x v="142"/>
  </r>
  <r>
    <n v="149"/>
    <x v="148"/>
    <x v="43"/>
    <x v="1"/>
    <x v="0"/>
    <d v="2023-06-10T00:00:00"/>
    <d v="2023-07-10T00:00:00"/>
    <n v="4"/>
    <n v="4.2"/>
    <n v="0"/>
    <x v="0"/>
    <x v="17"/>
    <x v="143"/>
  </r>
  <r>
    <n v="150"/>
    <x v="149"/>
    <x v="41"/>
    <x v="0"/>
    <x v="0"/>
    <d v="2022-01-04T00:00:00"/>
    <d v="2022-10-21T00:00:00"/>
    <n v="206"/>
    <n v="4"/>
    <n v="1"/>
    <x v="1"/>
    <x v="22"/>
    <x v="144"/>
  </r>
  <r>
    <n v="151"/>
    <x v="150"/>
    <x v="41"/>
    <x v="0"/>
    <x v="0"/>
    <d v="2022-08-09T00:00:00"/>
    <d v="2022-12-29T00:00:00"/>
    <n v="32"/>
    <n v="3.1"/>
    <n v="1"/>
    <x v="1"/>
    <x v="26"/>
    <x v="145"/>
  </r>
  <r>
    <n v="152"/>
    <x v="151"/>
    <x v="8"/>
    <x v="1"/>
    <x v="2"/>
    <d v="2023-12-09T00:00:00"/>
    <d v="2024-09-25T00:00:00"/>
    <n v="433"/>
    <n v="1.5"/>
    <n v="1"/>
    <x v="1"/>
    <x v="21"/>
    <x v="146"/>
  </r>
  <r>
    <n v="153"/>
    <x v="152"/>
    <x v="33"/>
    <x v="1"/>
    <x v="0"/>
    <d v="2024-03-23T00:00:00"/>
    <d v="2024-09-27T00:00:00"/>
    <n v="156"/>
    <n v="2.9"/>
    <n v="0"/>
    <x v="0"/>
    <x v="9"/>
    <x v="147"/>
  </r>
  <r>
    <n v="154"/>
    <x v="153"/>
    <x v="23"/>
    <x v="1"/>
    <x v="1"/>
    <d v="2024-03-26T00:00:00"/>
    <d v="2024-04-17T00:00:00"/>
    <n v="251"/>
    <n v="3.9"/>
    <n v="1"/>
    <x v="1"/>
    <x v="9"/>
    <x v="148"/>
  </r>
  <r>
    <n v="155"/>
    <x v="154"/>
    <x v="43"/>
    <x v="1"/>
    <x v="2"/>
    <d v="2024-05-23T00:00:00"/>
    <d v="2024-06-02T00:00:00"/>
    <n v="35"/>
    <n v="1.3"/>
    <n v="0"/>
    <x v="0"/>
    <x v="0"/>
    <x v="149"/>
  </r>
  <r>
    <n v="156"/>
    <x v="155"/>
    <x v="9"/>
    <x v="0"/>
    <x v="2"/>
    <d v="2024-01-09T00:00:00"/>
    <d v="2024-01-20T00:00:00"/>
    <n v="426"/>
    <n v="1.1000000000000001"/>
    <n v="0"/>
    <x v="0"/>
    <x v="6"/>
    <x v="23"/>
  </r>
  <r>
    <n v="157"/>
    <x v="156"/>
    <x v="2"/>
    <x v="1"/>
    <x v="2"/>
    <d v="2024-02-14T00:00:00"/>
    <d v="2024-03-21T00:00:00"/>
    <n v="40"/>
    <n v="3.7"/>
    <n v="1"/>
    <x v="1"/>
    <x v="4"/>
    <x v="150"/>
  </r>
  <r>
    <n v="158"/>
    <x v="157"/>
    <x v="19"/>
    <x v="0"/>
    <x v="2"/>
    <d v="2023-04-08T00:00:00"/>
    <d v="2023-06-07T00:00:00"/>
    <n v="260"/>
    <n v="4"/>
    <n v="0"/>
    <x v="0"/>
    <x v="3"/>
    <x v="151"/>
  </r>
  <r>
    <n v="159"/>
    <x v="158"/>
    <x v="27"/>
    <x v="0"/>
    <x v="1"/>
    <d v="2023-10-03T00:00:00"/>
    <d v="2024-08-09T00:00:00"/>
    <n v="274"/>
    <n v="3.7"/>
    <n v="0"/>
    <x v="0"/>
    <x v="27"/>
    <x v="152"/>
  </r>
  <r>
    <n v="160"/>
    <x v="159"/>
    <x v="15"/>
    <x v="1"/>
    <x v="0"/>
    <d v="2023-04-08T00:00:00"/>
    <d v="2023-08-03T00:00:00"/>
    <n v="49"/>
    <n v="1.8"/>
    <n v="0"/>
    <x v="0"/>
    <x v="3"/>
    <x v="153"/>
  </r>
  <r>
    <n v="161"/>
    <x v="160"/>
    <x v="16"/>
    <x v="0"/>
    <x v="2"/>
    <d v="2022-05-04T00:00:00"/>
    <d v="2023-01-08T00:00:00"/>
    <n v="339"/>
    <n v="1.1000000000000001"/>
    <n v="1"/>
    <x v="1"/>
    <x v="7"/>
    <x v="154"/>
  </r>
  <r>
    <n v="162"/>
    <x v="161"/>
    <x v="11"/>
    <x v="1"/>
    <x v="1"/>
    <d v="2023-12-24T00:00:00"/>
    <d v="2024-10-10T00:00:00"/>
    <n v="85"/>
    <n v="2.8"/>
    <n v="0"/>
    <x v="0"/>
    <x v="21"/>
    <x v="155"/>
  </r>
  <r>
    <n v="163"/>
    <x v="162"/>
    <x v="7"/>
    <x v="0"/>
    <x v="1"/>
    <d v="2023-11-13T00:00:00"/>
    <d v="2024-04-06T00:00:00"/>
    <n v="446"/>
    <n v="1.3"/>
    <n v="0"/>
    <x v="0"/>
    <x v="19"/>
    <x v="156"/>
  </r>
  <r>
    <n v="164"/>
    <x v="163"/>
    <x v="38"/>
    <x v="1"/>
    <x v="2"/>
    <d v="2024-05-04T00:00:00"/>
    <d v="2024-07-04T00:00:00"/>
    <n v="218"/>
    <n v="4.8"/>
    <n v="0"/>
    <x v="0"/>
    <x v="0"/>
    <x v="157"/>
  </r>
  <r>
    <n v="165"/>
    <x v="164"/>
    <x v="37"/>
    <x v="1"/>
    <x v="2"/>
    <d v="2024-01-05T00:00:00"/>
    <d v="2024-07-10T00:00:00"/>
    <n v="256"/>
    <n v="3"/>
    <n v="1"/>
    <x v="1"/>
    <x v="6"/>
    <x v="70"/>
  </r>
  <r>
    <n v="166"/>
    <x v="165"/>
    <x v="41"/>
    <x v="1"/>
    <x v="2"/>
    <d v="2022-11-20T00:00:00"/>
    <d v="2023-06-17T00:00:00"/>
    <n v="206"/>
    <n v="1.8"/>
    <n v="0"/>
    <x v="0"/>
    <x v="25"/>
    <x v="158"/>
  </r>
  <r>
    <n v="167"/>
    <x v="166"/>
    <x v="4"/>
    <x v="1"/>
    <x v="1"/>
    <d v="2023-08-08T00:00:00"/>
    <d v="2023-08-20T00:00:00"/>
    <n v="64"/>
    <n v="4"/>
    <n v="1"/>
    <x v="1"/>
    <x v="11"/>
    <x v="159"/>
  </r>
  <r>
    <n v="168"/>
    <x v="167"/>
    <x v="34"/>
    <x v="1"/>
    <x v="0"/>
    <d v="2022-12-03T00:00:00"/>
    <d v="2023-05-23T00:00:00"/>
    <n v="218"/>
    <n v="1.7"/>
    <n v="0"/>
    <x v="0"/>
    <x v="23"/>
    <x v="160"/>
  </r>
  <r>
    <n v="169"/>
    <x v="168"/>
    <x v="37"/>
    <x v="1"/>
    <x v="0"/>
    <d v="2022-10-04T00:00:00"/>
    <d v="2023-03-04T00:00:00"/>
    <n v="217"/>
    <n v="2.9"/>
    <n v="1"/>
    <x v="1"/>
    <x v="18"/>
    <x v="161"/>
  </r>
  <r>
    <n v="170"/>
    <x v="169"/>
    <x v="19"/>
    <x v="1"/>
    <x v="2"/>
    <d v="2023-12-29T00:00:00"/>
    <d v="2024-03-25T00:00:00"/>
    <n v="385"/>
    <n v="4.2"/>
    <n v="1"/>
    <x v="1"/>
    <x v="21"/>
    <x v="162"/>
  </r>
  <r>
    <n v="171"/>
    <x v="170"/>
    <x v="8"/>
    <x v="0"/>
    <x v="2"/>
    <d v="2022-06-12T00:00:00"/>
    <d v="2023-04-17T00:00:00"/>
    <n v="314"/>
    <n v="3.2"/>
    <n v="0"/>
    <x v="0"/>
    <x v="8"/>
    <x v="163"/>
  </r>
  <r>
    <n v="172"/>
    <x v="171"/>
    <x v="41"/>
    <x v="1"/>
    <x v="1"/>
    <d v="2023-10-21T00:00:00"/>
    <d v="2024-06-24T00:00:00"/>
    <n v="174"/>
    <n v="2.8"/>
    <n v="0"/>
    <x v="0"/>
    <x v="27"/>
    <x v="164"/>
  </r>
  <r>
    <n v="173"/>
    <x v="172"/>
    <x v="16"/>
    <x v="0"/>
    <x v="2"/>
    <d v="2023-11-01T00:00:00"/>
    <d v="2023-12-28T00:00:00"/>
    <n v="193"/>
    <n v="4.5"/>
    <n v="0"/>
    <x v="0"/>
    <x v="19"/>
    <x v="165"/>
  </r>
  <r>
    <n v="174"/>
    <x v="173"/>
    <x v="12"/>
    <x v="1"/>
    <x v="0"/>
    <d v="2022-06-15T00:00:00"/>
    <d v="2022-08-24T00:00:00"/>
    <n v="349"/>
    <n v="2.2999999999999998"/>
    <n v="0"/>
    <x v="0"/>
    <x v="8"/>
    <x v="166"/>
  </r>
  <r>
    <n v="175"/>
    <x v="174"/>
    <x v="44"/>
    <x v="1"/>
    <x v="1"/>
    <d v="2024-04-26T00:00:00"/>
    <d v="2024-09-10T00:00:00"/>
    <n v="479"/>
    <n v="4.9000000000000004"/>
    <n v="0"/>
    <x v="0"/>
    <x v="13"/>
    <x v="167"/>
  </r>
  <r>
    <n v="176"/>
    <x v="175"/>
    <x v="20"/>
    <x v="1"/>
    <x v="1"/>
    <d v="2023-07-08T00:00:00"/>
    <d v="2023-09-16T00:00:00"/>
    <n v="260"/>
    <n v="3.5"/>
    <n v="1"/>
    <x v="1"/>
    <x v="2"/>
    <x v="168"/>
  </r>
  <r>
    <n v="177"/>
    <x v="176"/>
    <x v="1"/>
    <x v="0"/>
    <x v="0"/>
    <d v="2023-04-04T00:00:00"/>
    <d v="2023-08-12T00:00:00"/>
    <n v="462"/>
    <n v="4"/>
    <n v="1"/>
    <x v="1"/>
    <x v="3"/>
    <x v="169"/>
  </r>
  <r>
    <n v="178"/>
    <x v="177"/>
    <x v="23"/>
    <x v="1"/>
    <x v="0"/>
    <d v="2022-06-03T00:00:00"/>
    <d v="2022-07-09T00:00:00"/>
    <n v="111"/>
    <n v="2"/>
    <n v="0"/>
    <x v="0"/>
    <x v="8"/>
    <x v="170"/>
  </r>
  <r>
    <n v="179"/>
    <x v="178"/>
    <x v="27"/>
    <x v="1"/>
    <x v="1"/>
    <d v="2024-02-06T00:00:00"/>
    <d v="2024-04-15T00:00:00"/>
    <n v="433"/>
    <n v="2.1"/>
    <n v="0"/>
    <x v="0"/>
    <x v="4"/>
    <x v="171"/>
  </r>
  <r>
    <n v="180"/>
    <x v="179"/>
    <x v="43"/>
    <x v="0"/>
    <x v="0"/>
    <d v="2022-03-03T00:00:00"/>
    <d v="2022-08-19T00:00:00"/>
    <n v="158"/>
    <n v="3.7"/>
    <n v="0"/>
    <x v="0"/>
    <x v="5"/>
    <x v="172"/>
  </r>
  <r>
    <n v="181"/>
    <x v="180"/>
    <x v="24"/>
    <x v="1"/>
    <x v="2"/>
    <d v="2022-04-04T00:00:00"/>
    <d v="2023-01-27T00:00:00"/>
    <n v="466"/>
    <n v="4.0999999999999996"/>
    <n v="1"/>
    <x v="1"/>
    <x v="1"/>
    <x v="173"/>
  </r>
  <r>
    <n v="182"/>
    <x v="181"/>
    <x v="33"/>
    <x v="0"/>
    <x v="2"/>
    <d v="2024-05-10T00:00:00"/>
    <d v="2024-10-25T00:00:00"/>
    <n v="223"/>
    <n v="4"/>
    <n v="0"/>
    <x v="0"/>
    <x v="0"/>
    <x v="174"/>
  </r>
  <r>
    <n v="183"/>
    <x v="182"/>
    <x v="29"/>
    <x v="1"/>
    <x v="1"/>
    <d v="2022-06-21T00:00:00"/>
    <d v="2022-10-15T00:00:00"/>
    <n v="385"/>
    <n v="3.9"/>
    <n v="0"/>
    <x v="0"/>
    <x v="8"/>
    <x v="175"/>
  </r>
  <r>
    <n v="184"/>
    <x v="183"/>
    <x v="20"/>
    <x v="1"/>
    <x v="2"/>
    <d v="2024-01-25T00:00:00"/>
    <d v="2024-10-22T00:00:00"/>
    <n v="178"/>
    <n v="3.8"/>
    <n v="1"/>
    <x v="1"/>
    <x v="6"/>
    <x v="123"/>
  </r>
  <r>
    <n v="185"/>
    <x v="184"/>
    <x v="33"/>
    <x v="1"/>
    <x v="2"/>
    <d v="2023-01-14T00:00:00"/>
    <d v="2023-12-27T00:00:00"/>
    <n v="487"/>
    <n v="1.5"/>
    <n v="0"/>
    <x v="0"/>
    <x v="10"/>
    <x v="176"/>
  </r>
  <r>
    <n v="186"/>
    <x v="185"/>
    <x v="40"/>
    <x v="0"/>
    <x v="2"/>
    <d v="2022-03-05T00:00:00"/>
    <d v="2022-06-04T00:00:00"/>
    <n v="421"/>
    <n v="3"/>
    <n v="0"/>
    <x v="0"/>
    <x v="5"/>
    <x v="177"/>
  </r>
  <r>
    <n v="187"/>
    <x v="186"/>
    <x v="45"/>
    <x v="0"/>
    <x v="2"/>
    <d v="2022-03-05T00:00:00"/>
    <d v="2022-04-24T00:00:00"/>
    <n v="298"/>
    <n v="2.2999999999999998"/>
    <n v="1"/>
    <x v="1"/>
    <x v="5"/>
    <x v="178"/>
  </r>
  <r>
    <n v="188"/>
    <x v="187"/>
    <x v="20"/>
    <x v="1"/>
    <x v="1"/>
    <d v="2022-09-09T00:00:00"/>
    <d v="2023-03-14T00:00:00"/>
    <n v="250"/>
    <n v="3.9"/>
    <n v="1"/>
    <x v="1"/>
    <x v="14"/>
    <x v="61"/>
  </r>
  <r>
    <n v="189"/>
    <x v="188"/>
    <x v="6"/>
    <x v="0"/>
    <x v="0"/>
    <d v="2022-05-25T00:00:00"/>
    <d v="2022-10-03T00:00:00"/>
    <n v="470"/>
    <n v="4.2"/>
    <n v="0"/>
    <x v="0"/>
    <x v="7"/>
    <x v="179"/>
  </r>
  <r>
    <n v="190"/>
    <x v="189"/>
    <x v="43"/>
    <x v="0"/>
    <x v="1"/>
    <d v="2022-06-24T00:00:00"/>
    <d v="2023-06-16T00:00:00"/>
    <n v="477"/>
    <n v="4"/>
    <n v="1"/>
    <x v="1"/>
    <x v="8"/>
    <x v="180"/>
  </r>
  <r>
    <n v="191"/>
    <x v="190"/>
    <x v="31"/>
    <x v="1"/>
    <x v="2"/>
    <d v="2024-02-08T00:00:00"/>
    <d v="2024-08-24T00:00:00"/>
    <n v="418"/>
    <n v="3.9"/>
    <n v="1"/>
    <x v="1"/>
    <x v="4"/>
    <x v="181"/>
  </r>
  <r>
    <n v="192"/>
    <x v="191"/>
    <x v="46"/>
    <x v="0"/>
    <x v="1"/>
    <d v="2024-05-13T00:00:00"/>
    <d v="2025-02-13T00:00:00"/>
    <n v="338"/>
    <n v="3.1"/>
    <n v="0"/>
    <x v="0"/>
    <x v="0"/>
    <x v="182"/>
  </r>
  <r>
    <n v="193"/>
    <x v="192"/>
    <x v="24"/>
    <x v="1"/>
    <x v="1"/>
    <d v="2022-06-12T00:00:00"/>
    <d v="2022-12-22T00:00:00"/>
    <n v="225"/>
    <n v="4.5999999999999996"/>
    <n v="0"/>
    <x v="0"/>
    <x v="8"/>
    <x v="127"/>
  </r>
  <r>
    <n v="194"/>
    <x v="193"/>
    <x v="6"/>
    <x v="0"/>
    <x v="0"/>
    <d v="2023-12-03T00:00:00"/>
    <d v="2024-11-11T00:00:00"/>
    <n v="344"/>
    <n v="3.3"/>
    <n v="0"/>
    <x v="0"/>
    <x v="21"/>
    <x v="183"/>
  </r>
  <r>
    <n v="195"/>
    <x v="194"/>
    <x v="13"/>
    <x v="0"/>
    <x v="2"/>
    <d v="2023-05-27T00:00:00"/>
    <d v="2024-02-22T00:00:00"/>
    <n v="391"/>
    <n v="2.6"/>
    <n v="1"/>
    <x v="1"/>
    <x v="16"/>
    <x v="25"/>
  </r>
  <r>
    <n v="196"/>
    <x v="195"/>
    <x v="19"/>
    <x v="1"/>
    <x v="0"/>
    <d v="2022-08-27T00:00:00"/>
    <d v="2023-05-25T00:00:00"/>
    <n v="472"/>
    <n v="4.5999999999999996"/>
    <n v="0"/>
    <x v="0"/>
    <x v="26"/>
    <x v="184"/>
  </r>
  <r>
    <n v="197"/>
    <x v="196"/>
    <x v="39"/>
    <x v="0"/>
    <x v="0"/>
    <d v="2024-04-04T00:00:00"/>
    <d v="2025-01-26T00:00:00"/>
    <n v="171"/>
    <n v="2.2999999999999998"/>
    <n v="0"/>
    <x v="0"/>
    <x v="13"/>
    <x v="185"/>
  </r>
  <r>
    <n v="198"/>
    <x v="197"/>
    <x v="6"/>
    <x v="1"/>
    <x v="2"/>
    <d v="2023-09-24T00:00:00"/>
    <d v="2024-07-30T00:00:00"/>
    <n v="469"/>
    <n v="4.4000000000000004"/>
    <n v="1"/>
    <x v="1"/>
    <x v="12"/>
    <x v="186"/>
  </r>
  <r>
    <n v="199"/>
    <x v="198"/>
    <x v="35"/>
    <x v="0"/>
    <x v="0"/>
    <d v="2022-07-15T00:00:00"/>
    <d v="2022-09-11T00:00:00"/>
    <n v="467"/>
    <n v="2.5"/>
    <n v="1"/>
    <x v="1"/>
    <x v="28"/>
    <x v="187"/>
  </r>
  <r>
    <n v="200"/>
    <x v="199"/>
    <x v="23"/>
    <x v="1"/>
    <x v="2"/>
    <d v="2022-02-03T00:00:00"/>
    <d v="2022-11-16T00:00:00"/>
    <n v="48"/>
    <n v="1.3"/>
    <n v="0"/>
    <x v="0"/>
    <x v="15"/>
    <x v="188"/>
  </r>
  <r>
    <n v="201"/>
    <x v="200"/>
    <x v="10"/>
    <x v="1"/>
    <x v="1"/>
    <d v="2023-10-15T00:00:00"/>
    <d v="2024-03-06T00:00:00"/>
    <n v="21"/>
    <n v="4.9000000000000004"/>
    <n v="0"/>
    <x v="0"/>
    <x v="27"/>
    <x v="189"/>
  </r>
  <r>
    <n v="202"/>
    <x v="201"/>
    <x v="26"/>
    <x v="0"/>
    <x v="1"/>
    <d v="2022-07-02T00:00:00"/>
    <d v="2022-12-27T00:00:00"/>
    <n v="85"/>
    <n v="2.7"/>
    <n v="0"/>
    <x v="0"/>
    <x v="28"/>
    <x v="69"/>
  </r>
  <r>
    <n v="203"/>
    <x v="202"/>
    <x v="21"/>
    <x v="0"/>
    <x v="1"/>
    <d v="2022-07-05T00:00:00"/>
    <d v="2023-03-06T00:00:00"/>
    <n v="27"/>
    <n v="4.7"/>
    <n v="1"/>
    <x v="1"/>
    <x v="28"/>
    <x v="190"/>
  </r>
  <r>
    <n v="204"/>
    <x v="203"/>
    <x v="36"/>
    <x v="0"/>
    <x v="1"/>
    <d v="2023-08-06T00:00:00"/>
    <d v="2023-11-08T00:00:00"/>
    <n v="443"/>
    <n v="4.8"/>
    <n v="0"/>
    <x v="0"/>
    <x v="11"/>
    <x v="191"/>
  </r>
  <r>
    <n v="205"/>
    <x v="204"/>
    <x v="30"/>
    <x v="0"/>
    <x v="2"/>
    <d v="2023-09-08T00:00:00"/>
    <d v="2024-04-22T00:00:00"/>
    <n v="110"/>
    <n v="4.3"/>
    <n v="0"/>
    <x v="0"/>
    <x v="12"/>
    <x v="92"/>
  </r>
  <r>
    <n v="206"/>
    <x v="205"/>
    <x v="42"/>
    <x v="1"/>
    <x v="0"/>
    <d v="2024-05-22T00:00:00"/>
    <d v="2024-07-04T00:00:00"/>
    <n v="371"/>
    <n v="4.5999999999999996"/>
    <n v="0"/>
    <x v="0"/>
    <x v="0"/>
    <x v="157"/>
  </r>
  <r>
    <n v="207"/>
    <x v="206"/>
    <x v="0"/>
    <x v="1"/>
    <x v="1"/>
    <d v="2023-09-13T00:00:00"/>
    <d v="2024-01-01T00:00:00"/>
    <n v="411"/>
    <n v="1.7"/>
    <n v="0"/>
    <x v="0"/>
    <x v="12"/>
    <x v="192"/>
  </r>
  <r>
    <n v="208"/>
    <x v="207"/>
    <x v="5"/>
    <x v="1"/>
    <x v="1"/>
    <d v="2022-08-20T00:00:00"/>
    <d v="2023-02-03T00:00:00"/>
    <n v="142"/>
    <n v="3.7"/>
    <n v="0"/>
    <x v="0"/>
    <x v="26"/>
    <x v="193"/>
  </r>
  <r>
    <n v="209"/>
    <x v="208"/>
    <x v="2"/>
    <x v="0"/>
    <x v="1"/>
    <d v="2022-01-14T00:00:00"/>
    <d v="2022-10-07T00:00:00"/>
    <n v="123"/>
    <n v="2.7"/>
    <n v="0"/>
    <x v="0"/>
    <x v="22"/>
    <x v="1"/>
  </r>
  <r>
    <n v="210"/>
    <x v="209"/>
    <x v="47"/>
    <x v="1"/>
    <x v="2"/>
    <d v="2023-07-26T00:00:00"/>
    <d v="2024-03-17T00:00:00"/>
    <n v="470"/>
    <n v="3.8"/>
    <n v="0"/>
    <x v="0"/>
    <x v="2"/>
    <x v="194"/>
  </r>
  <r>
    <n v="211"/>
    <x v="210"/>
    <x v="34"/>
    <x v="1"/>
    <x v="2"/>
    <d v="2024-05-02T00:00:00"/>
    <d v="2024-06-09T00:00:00"/>
    <n v="247"/>
    <n v="3.6"/>
    <n v="0"/>
    <x v="0"/>
    <x v="0"/>
    <x v="195"/>
  </r>
  <r>
    <n v="212"/>
    <x v="211"/>
    <x v="40"/>
    <x v="1"/>
    <x v="2"/>
    <d v="2024-05-31T00:00:00"/>
    <d v="2024-09-10T00:00:00"/>
    <n v="306"/>
    <n v="4.9000000000000004"/>
    <n v="1"/>
    <x v="1"/>
    <x v="0"/>
    <x v="167"/>
  </r>
  <r>
    <n v="213"/>
    <x v="212"/>
    <x v="3"/>
    <x v="1"/>
    <x v="1"/>
    <d v="2022-08-05T00:00:00"/>
    <d v="2023-05-25T00:00:00"/>
    <n v="60"/>
    <n v="4.4000000000000004"/>
    <n v="0"/>
    <x v="0"/>
    <x v="26"/>
    <x v="184"/>
  </r>
  <r>
    <n v="214"/>
    <x v="213"/>
    <x v="0"/>
    <x v="1"/>
    <x v="0"/>
    <d v="2023-01-01T00:00:00"/>
    <d v="2023-10-09T00:00:00"/>
    <n v="353"/>
    <n v="2.8"/>
    <n v="1"/>
    <x v="1"/>
    <x v="10"/>
    <x v="196"/>
  </r>
  <r>
    <n v="215"/>
    <x v="214"/>
    <x v="21"/>
    <x v="0"/>
    <x v="0"/>
    <d v="2022-06-20T00:00:00"/>
    <d v="2022-09-09T00:00:00"/>
    <n v="37"/>
    <n v="4.3"/>
    <n v="0"/>
    <x v="0"/>
    <x v="8"/>
    <x v="197"/>
  </r>
  <r>
    <n v="216"/>
    <x v="215"/>
    <x v="6"/>
    <x v="1"/>
    <x v="1"/>
    <d v="2023-01-13T00:00:00"/>
    <d v="2023-03-11T00:00:00"/>
    <n v="492"/>
    <n v="3.2"/>
    <n v="1"/>
    <x v="1"/>
    <x v="10"/>
    <x v="198"/>
  </r>
  <r>
    <n v="217"/>
    <x v="216"/>
    <x v="18"/>
    <x v="0"/>
    <x v="0"/>
    <d v="2022-12-19T00:00:00"/>
    <d v="2023-08-15T00:00:00"/>
    <n v="128"/>
    <n v="2.2999999999999998"/>
    <n v="0"/>
    <x v="0"/>
    <x v="23"/>
    <x v="83"/>
  </r>
  <r>
    <n v="218"/>
    <x v="217"/>
    <x v="21"/>
    <x v="0"/>
    <x v="2"/>
    <d v="2024-04-05T00:00:00"/>
    <d v="2025-01-29T00:00:00"/>
    <n v="197"/>
    <n v="1.5"/>
    <n v="1"/>
    <x v="1"/>
    <x v="13"/>
    <x v="199"/>
  </r>
  <r>
    <n v="219"/>
    <x v="218"/>
    <x v="28"/>
    <x v="0"/>
    <x v="2"/>
    <d v="2023-04-04T00:00:00"/>
    <d v="2023-08-16T00:00:00"/>
    <n v="267"/>
    <n v="1.8"/>
    <n v="1"/>
    <x v="1"/>
    <x v="3"/>
    <x v="82"/>
  </r>
  <r>
    <n v="220"/>
    <x v="219"/>
    <x v="20"/>
    <x v="1"/>
    <x v="0"/>
    <d v="2022-12-30T00:00:00"/>
    <d v="2023-12-01T00:00:00"/>
    <n v="245"/>
    <n v="1.2"/>
    <n v="0"/>
    <x v="0"/>
    <x v="23"/>
    <x v="200"/>
  </r>
  <r>
    <n v="221"/>
    <x v="220"/>
    <x v="47"/>
    <x v="1"/>
    <x v="0"/>
    <d v="2022-04-05T00:00:00"/>
    <d v="2022-07-13T00:00:00"/>
    <n v="110"/>
    <n v="4.9000000000000004"/>
    <n v="0"/>
    <x v="0"/>
    <x v="1"/>
    <x v="76"/>
  </r>
  <r>
    <n v="222"/>
    <x v="221"/>
    <x v="31"/>
    <x v="0"/>
    <x v="2"/>
    <d v="2022-12-02T00:00:00"/>
    <d v="2023-10-12T00:00:00"/>
    <n v="43"/>
    <n v="4.2"/>
    <n v="0"/>
    <x v="0"/>
    <x v="23"/>
    <x v="201"/>
  </r>
  <r>
    <n v="223"/>
    <x v="222"/>
    <x v="23"/>
    <x v="1"/>
    <x v="1"/>
    <d v="2024-01-30T00:00:00"/>
    <d v="2024-10-28T00:00:00"/>
    <n v="230"/>
    <n v="2.6"/>
    <n v="0"/>
    <x v="0"/>
    <x v="6"/>
    <x v="202"/>
  </r>
  <r>
    <n v="224"/>
    <x v="223"/>
    <x v="45"/>
    <x v="1"/>
    <x v="2"/>
    <d v="2023-05-17T00:00:00"/>
    <d v="2024-03-10T00:00:00"/>
    <n v="427"/>
    <n v="1.3"/>
    <n v="1"/>
    <x v="1"/>
    <x v="16"/>
    <x v="203"/>
  </r>
  <r>
    <n v="225"/>
    <x v="224"/>
    <x v="33"/>
    <x v="1"/>
    <x v="1"/>
    <d v="2023-10-04T00:00:00"/>
    <d v="2024-07-17T00:00:00"/>
    <n v="468"/>
    <n v="3.1"/>
    <n v="0"/>
    <x v="0"/>
    <x v="27"/>
    <x v="204"/>
  </r>
  <r>
    <n v="226"/>
    <x v="225"/>
    <x v="28"/>
    <x v="1"/>
    <x v="1"/>
    <d v="2022-10-23T00:00:00"/>
    <d v="2023-04-03T00:00:00"/>
    <n v="463"/>
    <n v="1.8"/>
    <n v="0"/>
    <x v="0"/>
    <x v="18"/>
    <x v="205"/>
  </r>
  <r>
    <n v="227"/>
    <x v="226"/>
    <x v="42"/>
    <x v="1"/>
    <x v="1"/>
    <d v="2023-10-07T00:00:00"/>
    <d v="2024-04-30T00:00:00"/>
    <n v="341"/>
    <n v="3.9"/>
    <n v="1"/>
    <x v="1"/>
    <x v="27"/>
    <x v="33"/>
  </r>
  <r>
    <n v="228"/>
    <x v="227"/>
    <x v="25"/>
    <x v="1"/>
    <x v="1"/>
    <d v="2023-08-13T00:00:00"/>
    <d v="2024-04-24T00:00:00"/>
    <n v="470"/>
    <n v="2.2999999999999998"/>
    <n v="0"/>
    <x v="0"/>
    <x v="11"/>
    <x v="206"/>
  </r>
  <r>
    <n v="229"/>
    <x v="228"/>
    <x v="26"/>
    <x v="1"/>
    <x v="2"/>
    <d v="2022-02-18T00:00:00"/>
    <d v="2022-07-22T00:00:00"/>
    <n v="402"/>
    <n v="1.3"/>
    <n v="0"/>
    <x v="0"/>
    <x v="15"/>
    <x v="207"/>
  </r>
  <r>
    <n v="230"/>
    <x v="229"/>
    <x v="29"/>
    <x v="1"/>
    <x v="2"/>
    <d v="2022-11-10T00:00:00"/>
    <d v="2023-07-23T00:00:00"/>
    <n v="191"/>
    <n v="4.0999999999999996"/>
    <n v="1"/>
    <x v="1"/>
    <x v="25"/>
    <x v="208"/>
  </r>
  <r>
    <n v="231"/>
    <x v="230"/>
    <x v="20"/>
    <x v="0"/>
    <x v="0"/>
    <d v="2023-07-04T00:00:00"/>
    <d v="2024-02-06T00:00:00"/>
    <n v="216"/>
    <n v="2.5"/>
    <n v="0"/>
    <x v="0"/>
    <x v="2"/>
    <x v="209"/>
  </r>
  <r>
    <n v="232"/>
    <x v="231"/>
    <x v="39"/>
    <x v="1"/>
    <x v="1"/>
    <d v="2023-04-20T00:00:00"/>
    <d v="2024-04-14T00:00:00"/>
    <n v="195"/>
    <n v="2.6"/>
    <n v="0"/>
    <x v="0"/>
    <x v="3"/>
    <x v="210"/>
  </r>
  <r>
    <n v="233"/>
    <x v="232"/>
    <x v="18"/>
    <x v="0"/>
    <x v="0"/>
    <d v="2023-05-20T00:00:00"/>
    <d v="2024-05-16T00:00:00"/>
    <n v="103"/>
    <n v="3.6"/>
    <n v="0"/>
    <x v="0"/>
    <x v="16"/>
    <x v="211"/>
  </r>
  <r>
    <n v="234"/>
    <x v="233"/>
    <x v="44"/>
    <x v="1"/>
    <x v="2"/>
    <d v="2023-09-13T00:00:00"/>
    <d v="2024-01-23T00:00:00"/>
    <n v="384"/>
    <n v="3.9"/>
    <n v="1"/>
    <x v="1"/>
    <x v="12"/>
    <x v="212"/>
  </r>
  <r>
    <n v="235"/>
    <x v="234"/>
    <x v="16"/>
    <x v="0"/>
    <x v="0"/>
    <d v="2023-09-28T00:00:00"/>
    <d v="2024-05-04T00:00:00"/>
    <n v="414"/>
    <n v="4.8"/>
    <n v="0"/>
    <x v="0"/>
    <x v="12"/>
    <x v="213"/>
  </r>
  <r>
    <n v="236"/>
    <x v="235"/>
    <x v="39"/>
    <x v="1"/>
    <x v="0"/>
    <d v="2023-02-26T00:00:00"/>
    <d v="2023-09-17T00:00:00"/>
    <n v="154"/>
    <n v="1"/>
    <n v="0"/>
    <x v="0"/>
    <x v="20"/>
    <x v="50"/>
  </r>
  <r>
    <n v="237"/>
    <x v="236"/>
    <x v="41"/>
    <x v="0"/>
    <x v="2"/>
    <d v="2024-01-28T00:00:00"/>
    <d v="2024-10-08T00:00:00"/>
    <n v="429"/>
    <n v="4.5"/>
    <n v="1"/>
    <x v="1"/>
    <x v="6"/>
    <x v="214"/>
  </r>
  <r>
    <n v="238"/>
    <x v="237"/>
    <x v="15"/>
    <x v="0"/>
    <x v="1"/>
    <d v="2023-05-27T00:00:00"/>
    <d v="2023-10-25T00:00:00"/>
    <n v="423"/>
    <n v="2.2999999999999998"/>
    <n v="1"/>
    <x v="1"/>
    <x v="16"/>
    <x v="215"/>
  </r>
  <r>
    <n v="239"/>
    <x v="238"/>
    <x v="44"/>
    <x v="1"/>
    <x v="0"/>
    <d v="2022-07-14T00:00:00"/>
    <d v="2023-01-01T00:00:00"/>
    <n v="54"/>
    <n v="3.8"/>
    <n v="0"/>
    <x v="0"/>
    <x v="28"/>
    <x v="216"/>
  </r>
  <r>
    <n v="240"/>
    <x v="239"/>
    <x v="35"/>
    <x v="0"/>
    <x v="0"/>
    <d v="2024-05-24T00:00:00"/>
    <d v="2024-06-24T00:00:00"/>
    <n v="46"/>
    <n v="4.9000000000000004"/>
    <n v="0"/>
    <x v="0"/>
    <x v="0"/>
    <x v="164"/>
  </r>
  <r>
    <n v="241"/>
    <x v="240"/>
    <x v="25"/>
    <x v="1"/>
    <x v="2"/>
    <d v="2023-10-23T00:00:00"/>
    <d v="2023-12-15T00:00:00"/>
    <n v="355"/>
    <n v="4.5"/>
    <n v="1"/>
    <x v="1"/>
    <x v="27"/>
    <x v="217"/>
  </r>
  <r>
    <n v="242"/>
    <x v="241"/>
    <x v="34"/>
    <x v="0"/>
    <x v="0"/>
    <d v="2023-12-08T00:00:00"/>
    <d v="2024-11-06T00:00:00"/>
    <n v="248"/>
    <n v="4.5"/>
    <n v="0"/>
    <x v="0"/>
    <x v="21"/>
    <x v="218"/>
  </r>
  <r>
    <n v="243"/>
    <x v="242"/>
    <x v="40"/>
    <x v="1"/>
    <x v="1"/>
    <d v="2023-12-02T00:00:00"/>
    <d v="2024-03-02T00:00:00"/>
    <n v="200"/>
    <n v="3.4"/>
    <n v="0"/>
    <x v="0"/>
    <x v="21"/>
    <x v="219"/>
  </r>
  <r>
    <n v="244"/>
    <x v="243"/>
    <x v="18"/>
    <x v="1"/>
    <x v="1"/>
    <d v="2022-07-15T00:00:00"/>
    <d v="2022-08-25T00:00:00"/>
    <n v="90"/>
    <n v="1"/>
    <n v="0"/>
    <x v="0"/>
    <x v="28"/>
    <x v="140"/>
  </r>
  <r>
    <n v="245"/>
    <x v="244"/>
    <x v="5"/>
    <x v="1"/>
    <x v="0"/>
    <d v="2024-04-29T00:00:00"/>
    <d v="2025-04-06T00:00:00"/>
    <n v="415"/>
    <n v="4.8"/>
    <n v="1"/>
    <x v="1"/>
    <x v="13"/>
    <x v="220"/>
  </r>
  <r>
    <n v="246"/>
    <x v="245"/>
    <x v="25"/>
    <x v="0"/>
    <x v="0"/>
    <d v="2023-07-31T00:00:00"/>
    <d v="2023-08-02T00:00:00"/>
    <n v="56"/>
    <n v="1.5"/>
    <n v="1"/>
    <x v="1"/>
    <x v="2"/>
    <x v="221"/>
  </r>
  <r>
    <n v="247"/>
    <x v="246"/>
    <x v="5"/>
    <x v="0"/>
    <x v="2"/>
    <d v="2024-06-05T00:00:00"/>
    <d v="2025-01-17T00:00:00"/>
    <n v="418"/>
    <n v="4.8"/>
    <n v="1"/>
    <x v="1"/>
    <x v="29"/>
    <x v="222"/>
  </r>
  <r>
    <n v="248"/>
    <x v="247"/>
    <x v="38"/>
    <x v="1"/>
    <x v="2"/>
    <d v="2022-08-23T00:00:00"/>
    <d v="2023-03-30T00:00:00"/>
    <n v="13"/>
    <n v="3.2"/>
    <n v="0"/>
    <x v="0"/>
    <x v="26"/>
    <x v="223"/>
  </r>
  <r>
    <n v="249"/>
    <x v="248"/>
    <x v="2"/>
    <x v="1"/>
    <x v="0"/>
    <d v="2024-06-19T00:00:00"/>
    <d v="2024-12-29T00:00:00"/>
    <n v="460"/>
    <n v="4.4000000000000004"/>
    <n v="1"/>
    <x v="1"/>
    <x v="29"/>
    <x v="224"/>
  </r>
  <r>
    <n v="250"/>
    <x v="249"/>
    <x v="25"/>
    <x v="1"/>
    <x v="1"/>
    <d v="2023-01-11T00:00:00"/>
    <d v="2023-11-26T00:00:00"/>
    <n v="146"/>
    <n v="1.6"/>
    <n v="1"/>
    <x v="1"/>
    <x v="10"/>
    <x v="225"/>
  </r>
  <r>
    <n v="251"/>
    <x v="250"/>
    <x v="31"/>
    <x v="1"/>
    <x v="2"/>
    <d v="2023-12-21T00:00:00"/>
    <d v="2024-07-18T00:00:00"/>
    <n v="415"/>
    <n v="2.9"/>
    <n v="0"/>
    <x v="0"/>
    <x v="21"/>
    <x v="226"/>
  </r>
  <r>
    <n v="252"/>
    <x v="251"/>
    <x v="36"/>
    <x v="1"/>
    <x v="0"/>
    <d v="2023-07-17T00:00:00"/>
    <d v="2024-02-26T00:00:00"/>
    <n v="222"/>
    <n v="1.9"/>
    <n v="1"/>
    <x v="1"/>
    <x v="2"/>
    <x v="227"/>
  </r>
  <r>
    <n v="253"/>
    <x v="252"/>
    <x v="30"/>
    <x v="1"/>
    <x v="2"/>
    <d v="2024-04-03T00:00:00"/>
    <d v="2025-01-07T00:00:00"/>
    <n v="49"/>
    <n v="3.5"/>
    <n v="0"/>
    <x v="0"/>
    <x v="13"/>
    <x v="228"/>
  </r>
  <r>
    <n v="254"/>
    <x v="253"/>
    <x v="21"/>
    <x v="1"/>
    <x v="0"/>
    <d v="2023-09-21T00:00:00"/>
    <d v="2023-12-01T00:00:00"/>
    <n v="289"/>
    <n v="1.7"/>
    <n v="1"/>
    <x v="1"/>
    <x v="12"/>
    <x v="200"/>
  </r>
  <r>
    <n v="255"/>
    <x v="254"/>
    <x v="22"/>
    <x v="1"/>
    <x v="2"/>
    <d v="2022-02-08T00:00:00"/>
    <d v="2022-10-28T00:00:00"/>
    <n v="41"/>
    <n v="3.7"/>
    <n v="1"/>
    <x v="1"/>
    <x v="15"/>
    <x v="229"/>
  </r>
  <r>
    <n v="256"/>
    <x v="255"/>
    <x v="5"/>
    <x v="0"/>
    <x v="1"/>
    <d v="2024-04-30T00:00:00"/>
    <d v="2025-01-05T00:00:00"/>
    <n v="181"/>
    <n v="1.1000000000000001"/>
    <n v="1"/>
    <x v="1"/>
    <x v="13"/>
    <x v="230"/>
  </r>
  <r>
    <n v="257"/>
    <x v="256"/>
    <x v="39"/>
    <x v="1"/>
    <x v="2"/>
    <d v="2022-06-07T00:00:00"/>
    <d v="2023-02-16T00:00:00"/>
    <n v="418"/>
    <n v="4"/>
    <n v="1"/>
    <x v="1"/>
    <x v="8"/>
    <x v="52"/>
  </r>
  <r>
    <n v="258"/>
    <x v="257"/>
    <x v="8"/>
    <x v="0"/>
    <x v="1"/>
    <d v="2022-03-27T00:00:00"/>
    <d v="2023-01-13T00:00:00"/>
    <n v="380"/>
    <n v="2.5"/>
    <n v="1"/>
    <x v="1"/>
    <x v="5"/>
    <x v="231"/>
  </r>
  <r>
    <n v="259"/>
    <x v="258"/>
    <x v="19"/>
    <x v="0"/>
    <x v="2"/>
    <d v="2023-12-14T00:00:00"/>
    <d v="2024-04-09T00:00:00"/>
    <n v="128"/>
    <n v="3.9"/>
    <n v="0"/>
    <x v="0"/>
    <x v="21"/>
    <x v="232"/>
  </r>
  <r>
    <n v="260"/>
    <x v="259"/>
    <x v="11"/>
    <x v="0"/>
    <x v="2"/>
    <d v="2023-10-30T00:00:00"/>
    <d v="2024-07-11T00:00:00"/>
    <n v="227"/>
    <n v="1.9"/>
    <n v="0"/>
    <x v="0"/>
    <x v="27"/>
    <x v="93"/>
  </r>
  <r>
    <n v="261"/>
    <x v="260"/>
    <x v="21"/>
    <x v="0"/>
    <x v="0"/>
    <d v="2023-05-09T00:00:00"/>
    <d v="2023-12-23T00:00:00"/>
    <n v="254"/>
    <n v="2"/>
    <n v="1"/>
    <x v="1"/>
    <x v="16"/>
    <x v="139"/>
  </r>
  <r>
    <n v="262"/>
    <x v="261"/>
    <x v="46"/>
    <x v="1"/>
    <x v="0"/>
    <d v="2022-07-22T00:00:00"/>
    <d v="2022-07-24T00:00:00"/>
    <n v="40"/>
    <n v="1.8"/>
    <n v="1"/>
    <x v="1"/>
    <x v="28"/>
    <x v="233"/>
  </r>
  <r>
    <n v="263"/>
    <x v="262"/>
    <x v="19"/>
    <x v="0"/>
    <x v="2"/>
    <d v="2023-11-16T00:00:00"/>
    <d v="2024-10-16T00:00:00"/>
    <n v="101"/>
    <n v="2.9"/>
    <n v="1"/>
    <x v="1"/>
    <x v="19"/>
    <x v="234"/>
  </r>
  <r>
    <n v="264"/>
    <x v="263"/>
    <x v="36"/>
    <x v="0"/>
    <x v="1"/>
    <d v="2023-06-05T00:00:00"/>
    <d v="2024-04-26T00:00:00"/>
    <n v="277"/>
    <n v="4"/>
    <n v="0"/>
    <x v="0"/>
    <x v="17"/>
    <x v="235"/>
  </r>
  <r>
    <n v="265"/>
    <x v="264"/>
    <x v="9"/>
    <x v="1"/>
    <x v="0"/>
    <d v="2022-05-10T00:00:00"/>
    <d v="2022-12-31T00:00:00"/>
    <n v="20"/>
    <n v="3.6"/>
    <n v="0"/>
    <x v="0"/>
    <x v="7"/>
    <x v="236"/>
  </r>
  <r>
    <n v="266"/>
    <x v="265"/>
    <x v="2"/>
    <x v="0"/>
    <x v="2"/>
    <d v="2024-02-08T00:00:00"/>
    <d v="2024-06-22T00:00:00"/>
    <n v="217"/>
    <n v="2.5"/>
    <n v="0"/>
    <x v="0"/>
    <x v="4"/>
    <x v="237"/>
  </r>
  <r>
    <n v="267"/>
    <x v="266"/>
    <x v="9"/>
    <x v="0"/>
    <x v="1"/>
    <d v="2024-03-08T00:00:00"/>
    <d v="2024-07-16T00:00:00"/>
    <n v="374"/>
    <n v="4.7"/>
    <n v="0"/>
    <x v="0"/>
    <x v="9"/>
    <x v="238"/>
  </r>
  <r>
    <n v="268"/>
    <x v="267"/>
    <x v="18"/>
    <x v="0"/>
    <x v="1"/>
    <d v="2022-06-16T00:00:00"/>
    <d v="2022-07-09T00:00:00"/>
    <n v="252"/>
    <n v="1"/>
    <n v="0"/>
    <x v="0"/>
    <x v="8"/>
    <x v="170"/>
  </r>
  <r>
    <n v="269"/>
    <x v="268"/>
    <x v="8"/>
    <x v="1"/>
    <x v="1"/>
    <d v="2023-10-04T00:00:00"/>
    <d v="2024-02-11T00:00:00"/>
    <n v="433"/>
    <n v="3.1"/>
    <n v="0"/>
    <x v="0"/>
    <x v="27"/>
    <x v="104"/>
  </r>
  <r>
    <n v="270"/>
    <x v="269"/>
    <x v="11"/>
    <x v="1"/>
    <x v="2"/>
    <d v="2024-03-26T00:00:00"/>
    <d v="2025-02-28T00:00:00"/>
    <n v="355"/>
    <n v="2.2999999999999998"/>
    <n v="1"/>
    <x v="1"/>
    <x v="9"/>
    <x v="239"/>
  </r>
  <r>
    <n v="271"/>
    <x v="270"/>
    <x v="0"/>
    <x v="0"/>
    <x v="2"/>
    <d v="2023-02-11T00:00:00"/>
    <d v="2023-11-07T00:00:00"/>
    <n v="265"/>
    <n v="4.4000000000000004"/>
    <n v="0"/>
    <x v="0"/>
    <x v="20"/>
    <x v="240"/>
  </r>
  <r>
    <n v="272"/>
    <x v="271"/>
    <x v="38"/>
    <x v="1"/>
    <x v="2"/>
    <d v="2024-01-28T00:00:00"/>
    <d v="2024-09-12T00:00:00"/>
    <n v="252"/>
    <n v="5"/>
    <n v="0"/>
    <x v="0"/>
    <x v="6"/>
    <x v="241"/>
  </r>
  <r>
    <n v="273"/>
    <x v="272"/>
    <x v="37"/>
    <x v="1"/>
    <x v="0"/>
    <d v="2022-03-31T00:00:00"/>
    <d v="2023-01-04T00:00:00"/>
    <n v="153"/>
    <n v="3.9"/>
    <n v="0"/>
    <x v="0"/>
    <x v="5"/>
    <x v="242"/>
  </r>
  <r>
    <n v="274"/>
    <x v="273"/>
    <x v="3"/>
    <x v="1"/>
    <x v="2"/>
    <d v="2023-09-13T00:00:00"/>
    <d v="2024-07-22T00:00:00"/>
    <n v="292"/>
    <n v="1.7"/>
    <n v="0"/>
    <x v="0"/>
    <x v="12"/>
    <x v="243"/>
  </r>
  <r>
    <n v="275"/>
    <x v="274"/>
    <x v="1"/>
    <x v="1"/>
    <x v="0"/>
    <d v="2024-01-02T00:00:00"/>
    <d v="2024-07-20T00:00:00"/>
    <n v="302"/>
    <n v="1.4"/>
    <n v="1"/>
    <x v="1"/>
    <x v="6"/>
    <x v="244"/>
  </r>
  <r>
    <n v="276"/>
    <x v="275"/>
    <x v="25"/>
    <x v="1"/>
    <x v="1"/>
    <d v="2023-12-20T00:00:00"/>
    <d v="2024-10-11T00:00:00"/>
    <n v="14"/>
    <n v="1.1000000000000001"/>
    <n v="1"/>
    <x v="1"/>
    <x v="21"/>
    <x v="245"/>
  </r>
  <r>
    <n v="277"/>
    <x v="276"/>
    <x v="28"/>
    <x v="0"/>
    <x v="1"/>
    <d v="2023-12-23T00:00:00"/>
    <d v="2024-04-13T00:00:00"/>
    <n v="90"/>
    <n v="2.2999999999999998"/>
    <n v="1"/>
    <x v="1"/>
    <x v="21"/>
    <x v="246"/>
  </r>
  <r>
    <n v="278"/>
    <x v="277"/>
    <x v="24"/>
    <x v="1"/>
    <x v="0"/>
    <d v="2024-06-11T00:00:00"/>
    <d v="2024-10-01T00:00:00"/>
    <n v="439"/>
    <n v="3.4"/>
    <n v="1"/>
    <x v="1"/>
    <x v="29"/>
    <x v="247"/>
  </r>
  <r>
    <n v="279"/>
    <x v="278"/>
    <x v="43"/>
    <x v="1"/>
    <x v="1"/>
    <d v="2022-05-27T00:00:00"/>
    <d v="2023-03-06T00:00:00"/>
    <n v="45"/>
    <n v="2.1"/>
    <n v="0"/>
    <x v="0"/>
    <x v="7"/>
    <x v="190"/>
  </r>
  <r>
    <n v="280"/>
    <x v="279"/>
    <x v="42"/>
    <x v="1"/>
    <x v="1"/>
    <d v="2022-02-22T00:00:00"/>
    <d v="2022-12-25T00:00:00"/>
    <n v="314"/>
    <n v="3.3"/>
    <n v="0"/>
    <x v="0"/>
    <x v="15"/>
    <x v="248"/>
  </r>
  <r>
    <n v="281"/>
    <x v="280"/>
    <x v="30"/>
    <x v="1"/>
    <x v="1"/>
    <d v="2022-11-14T00:00:00"/>
    <d v="2022-11-30T00:00:00"/>
    <n v="470"/>
    <n v="3.6"/>
    <n v="1"/>
    <x v="1"/>
    <x v="25"/>
    <x v="249"/>
  </r>
  <r>
    <n v="282"/>
    <x v="281"/>
    <x v="43"/>
    <x v="0"/>
    <x v="1"/>
    <d v="2024-01-24T00:00:00"/>
    <d v="2024-03-21T00:00:00"/>
    <n v="22"/>
    <n v="3.2"/>
    <n v="1"/>
    <x v="1"/>
    <x v="6"/>
    <x v="150"/>
  </r>
  <r>
    <n v="283"/>
    <x v="282"/>
    <x v="7"/>
    <x v="0"/>
    <x v="0"/>
    <d v="2023-12-25T00:00:00"/>
    <d v="2024-12-04T00:00:00"/>
    <n v="413"/>
    <n v="2.5"/>
    <n v="1"/>
    <x v="1"/>
    <x v="21"/>
    <x v="250"/>
  </r>
  <r>
    <n v="284"/>
    <x v="283"/>
    <x v="4"/>
    <x v="0"/>
    <x v="2"/>
    <d v="2022-03-14T00:00:00"/>
    <d v="2022-07-12T00:00:00"/>
    <n v="70"/>
    <n v="2.4"/>
    <n v="1"/>
    <x v="1"/>
    <x v="5"/>
    <x v="251"/>
  </r>
  <r>
    <n v="285"/>
    <x v="284"/>
    <x v="12"/>
    <x v="1"/>
    <x v="1"/>
    <d v="2022-08-08T00:00:00"/>
    <d v="2023-04-21T00:00:00"/>
    <n v="331"/>
    <n v="2.9"/>
    <n v="1"/>
    <x v="1"/>
    <x v="26"/>
    <x v="31"/>
  </r>
  <r>
    <n v="286"/>
    <x v="285"/>
    <x v="40"/>
    <x v="1"/>
    <x v="0"/>
    <d v="2023-08-24T00:00:00"/>
    <d v="2023-09-06T00:00:00"/>
    <n v="433"/>
    <n v="2"/>
    <n v="1"/>
    <x v="1"/>
    <x v="11"/>
    <x v="252"/>
  </r>
  <r>
    <n v="287"/>
    <x v="286"/>
    <x v="46"/>
    <x v="0"/>
    <x v="1"/>
    <d v="2023-11-06T00:00:00"/>
    <d v="2024-03-01T00:00:00"/>
    <n v="223"/>
    <n v="3.6"/>
    <n v="1"/>
    <x v="1"/>
    <x v="19"/>
    <x v="253"/>
  </r>
  <r>
    <n v="288"/>
    <x v="287"/>
    <x v="33"/>
    <x v="0"/>
    <x v="2"/>
    <d v="2022-12-25T00:00:00"/>
    <d v="2023-12-06T00:00:00"/>
    <n v="13"/>
    <n v="2.5"/>
    <n v="0"/>
    <x v="0"/>
    <x v="23"/>
    <x v="254"/>
  </r>
  <r>
    <n v="289"/>
    <x v="288"/>
    <x v="19"/>
    <x v="1"/>
    <x v="1"/>
    <d v="2023-11-03T00:00:00"/>
    <d v="2024-04-24T00:00:00"/>
    <n v="70"/>
    <n v="2.9"/>
    <n v="0"/>
    <x v="0"/>
    <x v="19"/>
    <x v="206"/>
  </r>
  <r>
    <n v="290"/>
    <x v="289"/>
    <x v="34"/>
    <x v="0"/>
    <x v="2"/>
    <d v="2022-04-09T00:00:00"/>
    <d v="2023-03-11T00:00:00"/>
    <n v="216"/>
    <n v="2.4"/>
    <n v="1"/>
    <x v="1"/>
    <x v="1"/>
    <x v="198"/>
  </r>
  <r>
    <n v="291"/>
    <x v="290"/>
    <x v="44"/>
    <x v="1"/>
    <x v="2"/>
    <d v="2023-11-27T00:00:00"/>
    <d v="2024-11-17T00:00:00"/>
    <n v="253"/>
    <n v="1.8"/>
    <n v="0"/>
    <x v="0"/>
    <x v="19"/>
    <x v="255"/>
  </r>
  <r>
    <n v="292"/>
    <x v="291"/>
    <x v="25"/>
    <x v="1"/>
    <x v="2"/>
    <d v="2024-06-18T00:00:00"/>
    <d v="2024-11-04T00:00:00"/>
    <n v="391"/>
    <n v="1.5"/>
    <n v="0"/>
    <x v="0"/>
    <x v="29"/>
    <x v="256"/>
  </r>
  <r>
    <n v="293"/>
    <x v="292"/>
    <x v="15"/>
    <x v="1"/>
    <x v="1"/>
    <d v="2024-06-06T00:00:00"/>
    <d v="2024-08-28T00:00:00"/>
    <n v="469"/>
    <n v="4.5"/>
    <n v="0"/>
    <x v="0"/>
    <x v="29"/>
    <x v="257"/>
  </r>
  <r>
    <n v="294"/>
    <x v="293"/>
    <x v="35"/>
    <x v="1"/>
    <x v="2"/>
    <d v="2022-04-12T00:00:00"/>
    <d v="2023-01-18T00:00:00"/>
    <n v="254"/>
    <n v="2.2000000000000002"/>
    <n v="0"/>
    <x v="0"/>
    <x v="1"/>
    <x v="258"/>
  </r>
  <r>
    <n v="295"/>
    <x v="294"/>
    <x v="43"/>
    <x v="1"/>
    <x v="1"/>
    <d v="2023-02-19T00:00:00"/>
    <d v="2023-03-05T00:00:00"/>
    <n v="232"/>
    <n v="2.8"/>
    <n v="0"/>
    <x v="0"/>
    <x v="20"/>
    <x v="259"/>
  </r>
  <r>
    <n v="296"/>
    <x v="295"/>
    <x v="8"/>
    <x v="0"/>
    <x v="0"/>
    <d v="2023-06-25T00:00:00"/>
    <d v="2024-06-16T00:00:00"/>
    <n v="380"/>
    <n v="2.9"/>
    <n v="1"/>
    <x v="1"/>
    <x v="17"/>
    <x v="260"/>
  </r>
  <r>
    <n v="297"/>
    <x v="296"/>
    <x v="8"/>
    <x v="0"/>
    <x v="2"/>
    <d v="2022-03-10T00:00:00"/>
    <d v="2022-06-30T00:00:00"/>
    <n v="273"/>
    <n v="4.3"/>
    <n v="0"/>
    <x v="0"/>
    <x v="5"/>
    <x v="261"/>
  </r>
  <r>
    <n v="298"/>
    <x v="297"/>
    <x v="11"/>
    <x v="1"/>
    <x v="0"/>
    <d v="2023-09-03T00:00:00"/>
    <d v="2024-07-14T00:00:00"/>
    <n v="470"/>
    <n v="4.2"/>
    <n v="1"/>
    <x v="1"/>
    <x v="12"/>
    <x v="262"/>
  </r>
  <r>
    <n v="299"/>
    <x v="298"/>
    <x v="31"/>
    <x v="0"/>
    <x v="2"/>
    <d v="2022-02-17T00:00:00"/>
    <d v="2022-10-10T00:00:00"/>
    <n v="378"/>
    <n v="2"/>
    <n v="1"/>
    <x v="1"/>
    <x v="15"/>
    <x v="263"/>
  </r>
  <r>
    <n v="300"/>
    <x v="299"/>
    <x v="18"/>
    <x v="1"/>
    <x v="1"/>
    <d v="2023-07-16T00:00:00"/>
    <d v="2024-06-15T00:00:00"/>
    <n v="345"/>
    <n v="4.0999999999999996"/>
    <n v="0"/>
    <x v="0"/>
    <x v="2"/>
    <x v="264"/>
  </r>
  <r>
    <n v="301"/>
    <x v="300"/>
    <x v="11"/>
    <x v="0"/>
    <x v="2"/>
    <d v="2023-12-31T00:00:00"/>
    <d v="2024-04-12T00:00:00"/>
    <n v="362"/>
    <n v="3.9"/>
    <n v="1"/>
    <x v="1"/>
    <x v="21"/>
    <x v="134"/>
  </r>
  <r>
    <n v="302"/>
    <x v="301"/>
    <x v="17"/>
    <x v="1"/>
    <x v="1"/>
    <d v="2024-02-19T00:00:00"/>
    <d v="2024-09-20T00:00:00"/>
    <n v="257"/>
    <n v="3.8"/>
    <n v="0"/>
    <x v="0"/>
    <x v="4"/>
    <x v="265"/>
  </r>
  <r>
    <n v="303"/>
    <x v="302"/>
    <x v="29"/>
    <x v="1"/>
    <x v="2"/>
    <d v="2022-05-01T00:00:00"/>
    <d v="2023-03-23T00:00:00"/>
    <n v="214"/>
    <n v="1.8"/>
    <n v="1"/>
    <x v="1"/>
    <x v="7"/>
    <x v="266"/>
  </r>
  <r>
    <n v="304"/>
    <x v="303"/>
    <x v="11"/>
    <x v="1"/>
    <x v="0"/>
    <d v="2022-06-09T00:00:00"/>
    <d v="2023-03-31T00:00:00"/>
    <n v="181"/>
    <n v="2.9"/>
    <n v="1"/>
    <x v="1"/>
    <x v="8"/>
    <x v="267"/>
  </r>
  <r>
    <n v="305"/>
    <x v="304"/>
    <x v="3"/>
    <x v="1"/>
    <x v="1"/>
    <d v="2024-05-16T00:00:00"/>
    <d v="2025-01-29T00:00:00"/>
    <n v="146"/>
    <n v="4.5999999999999996"/>
    <n v="0"/>
    <x v="0"/>
    <x v="0"/>
    <x v="199"/>
  </r>
  <r>
    <n v="306"/>
    <x v="305"/>
    <x v="28"/>
    <x v="0"/>
    <x v="2"/>
    <d v="2023-04-29T00:00:00"/>
    <d v="2023-11-16T00:00:00"/>
    <n v="469"/>
    <n v="3.8"/>
    <n v="1"/>
    <x v="1"/>
    <x v="3"/>
    <x v="268"/>
  </r>
  <r>
    <n v="307"/>
    <x v="306"/>
    <x v="35"/>
    <x v="0"/>
    <x v="0"/>
    <d v="2023-10-11T00:00:00"/>
    <d v="2023-12-30T00:00:00"/>
    <n v="135"/>
    <n v="4.5"/>
    <n v="0"/>
    <x v="0"/>
    <x v="27"/>
    <x v="269"/>
  </r>
  <r>
    <n v="308"/>
    <x v="307"/>
    <x v="22"/>
    <x v="1"/>
    <x v="2"/>
    <d v="2024-02-14T00:00:00"/>
    <d v="2024-10-24T00:00:00"/>
    <n v="453"/>
    <n v="1.3"/>
    <n v="0"/>
    <x v="0"/>
    <x v="4"/>
    <x v="270"/>
  </r>
  <r>
    <n v="309"/>
    <x v="308"/>
    <x v="37"/>
    <x v="1"/>
    <x v="1"/>
    <d v="2022-06-29T00:00:00"/>
    <d v="2023-05-10T00:00:00"/>
    <n v="110"/>
    <n v="2.4"/>
    <n v="1"/>
    <x v="1"/>
    <x v="8"/>
    <x v="271"/>
  </r>
  <r>
    <n v="310"/>
    <x v="309"/>
    <x v="38"/>
    <x v="0"/>
    <x v="1"/>
    <d v="2022-07-17T00:00:00"/>
    <d v="2022-09-18T00:00:00"/>
    <n v="423"/>
    <n v="2.2999999999999998"/>
    <n v="0"/>
    <x v="0"/>
    <x v="28"/>
    <x v="272"/>
  </r>
  <r>
    <n v="311"/>
    <x v="310"/>
    <x v="28"/>
    <x v="0"/>
    <x v="2"/>
    <d v="2022-10-13T00:00:00"/>
    <d v="2023-03-24T00:00:00"/>
    <n v="405"/>
    <n v="3.3"/>
    <n v="0"/>
    <x v="0"/>
    <x v="18"/>
    <x v="273"/>
  </r>
  <r>
    <n v="312"/>
    <x v="311"/>
    <x v="18"/>
    <x v="0"/>
    <x v="2"/>
    <d v="2022-09-02T00:00:00"/>
    <d v="2023-02-21T00:00:00"/>
    <n v="210"/>
    <n v="4.4000000000000004"/>
    <n v="0"/>
    <x v="0"/>
    <x v="14"/>
    <x v="274"/>
  </r>
  <r>
    <n v="313"/>
    <x v="312"/>
    <x v="27"/>
    <x v="0"/>
    <x v="2"/>
    <d v="2023-02-14T00:00:00"/>
    <d v="2023-12-31T00:00:00"/>
    <n v="375"/>
    <n v="4.4000000000000004"/>
    <n v="1"/>
    <x v="1"/>
    <x v="20"/>
    <x v="275"/>
  </r>
  <r>
    <n v="314"/>
    <x v="313"/>
    <x v="26"/>
    <x v="0"/>
    <x v="1"/>
    <d v="2022-10-15T00:00:00"/>
    <d v="2023-01-09T00:00:00"/>
    <n v="9"/>
    <n v="1.9"/>
    <n v="1"/>
    <x v="1"/>
    <x v="18"/>
    <x v="276"/>
  </r>
  <r>
    <n v="315"/>
    <x v="314"/>
    <x v="13"/>
    <x v="1"/>
    <x v="2"/>
    <d v="2022-06-28T00:00:00"/>
    <d v="2022-11-16T00:00:00"/>
    <n v="273"/>
    <n v="1.4"/>
    <n v="1"/>
    <x v="1"/>
    <x v="8"/>
    <x v="188"/>
  </r>
  <r>
    <n v="316"/>
    <x v="315"/>
    <x v="18"/>
    <x v="1"/>
    <x v="2"/>
    <d v="2023-06-29T00:00:00"/>
    <d v="2023-07-07T00:00:00"/>
    <n v="466"/>
    <n v="3.6"/>
    <n v="1"/>
    <x v="1"/>
    <x v="17"/>
    <x v="277"/>
  </r>
  <r>
    <n v="317"/>
    <x v="316"/>
    <x v="45"/>
    <x v="0"/>
    <x v="1"/>
    <d v="2024-04-15T00:00:00"/>
    <d v="2024-07-04T00:00:00"/>
    <n v="493"/>
    <n v="1.9"/>
    <n v="1"/>
    <x v="1"/>
    <x v="13"/>
    <x v="157"/>
  </r>
  <r>
    <n v="318"/>
    <x v="317"/>
    <x v="33"/>
    <x v="1"/>
    <x v="1"/>
    <d v="2022-01-08T00:00:00"/>
    <d v="2022-05-13T00:00:00"/>
    <n v="291"/>
    <n v="4.5"/>
    <n v="1"/>
    <x v="1"/>
    <x v="22"/>
    <x v="278"/>
  </r>
  <r>
    <n v="319"/>
    <x v="318"/>
    <x v="30"/>
    <x v="1"/>
    <x v="1"/>
    <d v="2022-08-05T00:00:00"/>
    <d v="2022-10-13T00:00:00"/>
    <n v="370"/>
    <n v="3.8"/>
    <n v="1"/>
    <x v="1"/>
    <x v="26"/>
    <x v="279"/>
  </r>
  <r>
    <n v="320"/>
    <x v="319"/>
    <x v="40"/>
    <x v="0"/>
    <x v="2"/>
    <d v="2024-03-11T00:00:00"/>
    <d v="2024-11-16T00:00:00"/>
    <n v="215"/>
    <n v="1.3"/>
    <n v="1"/>
    <x v="1"/>
    <x v="9"/>
    <x v="280"/>
  </r>
  <r>
    <n v="321"/>
    <x v="320"/>
    <x v="38"/>
    <x v="1"/>
    <x v="1"/>
    <d v="2023-03-16T00:00:00"/>
    <d v="2023-07-16T00:00:00"/>
    <n v="233"/>
    <n v="4.2"/>
    <n v="0"/>
    <x v="0"/>
    <x v="24"/>
    <x v="281"/>
  </r>
  <r>
    <n v="322"/>
    <x v="321"/>
    <x v="8"/>
    <x v="0"/>
    <x v="1"/>
    <d v="2024-04-22T00:00:00"/>
    <d v="2024-08-07T00:00:00"/>
    <n v="258"/>
    <n v="3.9"/>
    <n v="1"/>
    <x v="1"/>
    <x v="13"/>
    <x v="282"/>
  </r>
  <r>
    <n v="323"/>
    <x v="322"/>
    <x v="28"/>
    <x v="1"/>
    <x v="0"/>
    <d v="2022-10-23T00:00:00"/>
    <d v="2023-06-23T00:00:00"/>
    <n v="251"/>
    <n v="3"/>
    <n v="1"/>
    <x v="1"/>
    <x v="18"/>
    <x v="283"/>
  </r>
  <r>
    <n v="324"/>
    <x v="323"/>
    <x v="25"/>
    <x v="1"/>
    <x v="1"/>
    <d v="2024-01-15T00:00:00"/>
    <d v="2024-10-25T00:00:00"/>
    <n v="217"/>
    <n v="3.6"/>
    <n v="0"/>
    <x v="0"/>
    <x v="6"/>
    <x v="174"/>
  </r>
  <r>
    <n v="325"/>
    <x v="324"/>
    <x v="26"/>
    <x v="0"/>
    <x v="1"/>
    <d v="2022-02-28T00:00:00"/>
    <d v="2022-05-10T00:00:00"/>
    <n v="158"/>
    <n v="4.2"/>
    <n v="0"/>
    <x v="0"/>
    <x v="15"/>
    <x v="284"/>
  </r>
  <r>
    <n v="326"/>
    <x v="325"/>
    <x v="43"/>
    <x v="0"/>
    <x v="1"/>
    <d v="2023-03-31T00:00:00"/>
    <d v="2024-01-17T00:00:00"/>
    <n v="239"/>
    <n v="3.4"/>
    <n v="1"/>
    <x v="1"/>
    <x v="24"/>
    <x v="111"/>
  </r>
  <r>
    <n v="327"/>
    <x v="326"/>
    <x v="1"/>
    <x v="0"/>
    <x v="0"/>
    <d v="2023-11-12T00:00:00"/>
    <d v="2024-09-08T00:00:00"/>
    <n v="132"/>
    <n v="4.5"/>
    <n v="1"/>
    <x v="1"/>
    <x v="19"/>
    <x v="285"/>
  </r>
  <r>
    <n v="328"/>
    <x v="327"/>
    <x v="4"/>
    <x v="1"/>
    <x v="2"/>
    <d v="2023-04-10T00:00:00"/>
    <d v="2023-06-09T00:00:00"/>
    <n v="463"/>
    <n v="4.5999999999999996"/>
    <n v="1"/>
    <x v="1"/>
    <x v="3"/>
    <x v="286"/>
  </r>
  <r>
    <n v="329"/>
    <x v="328"/>
    <x v="37"/>
    <x v="0"/>
    <x v="2"/>
    <d v="2024-06-14T00:00:00"/>
    <d v="2025-02-16T00:00:00"/>
    <n v="67"/>
    <n v="1.6"/>
    <n v="1"/>
    <x v="1"/>
    <x v="29"/>
    <x v="287"/>
  </r>
  <r>
    <n v="330"/>
    <x v="329"/>
    <x v="1"/>
    <x v="1"/>
    <x v="2"/>
    <d v="2022-04-13T00:00:00"/>
    <d v="2022-06-12T00:00:00"/>
    <n v="231"/>
    <n v="3.2"/>
    <n v="1"/>
    <x v="1"/>
    <x v="1"/>
    <x v="288"/>
  </r>
  <r>
    <n v="331"/>
    <x v="330"/>
    <x v="27"/>
    <x v="0"/>
    <x v="2"/>
    <d v="2023-12-13T00:00:00"/>
    <d v="2024-11-25T00:00:00"/>
    <n v="260"/>
    <n v="4.5999999999999996"/>
    <n v="0"/>
    <x v="0"/>
    <x v="21"/>
    <x v="289"/>
  </r>
  <r>
    <n v="332"/>
    <x v="331"/>
    <x v="28"/>
    <x v="0"/>
    <x v="1"/>
    <d v="2022-04-30T00:00:00"/>
    <d v="2023-04-21T00:00:00"/>
    <n v="482"/>
    <n v="2.2000000000000002"/>
    <n v="0"/>
    <x v="0"/>
    <x v="1"/>
    <x v="31"/>
  </r>
  <r>
    <n v="333"/>
    <x v="332"/>
    <x v="0"/>
    <x v="0"/>
    <x v="1"/>
    <d v="2022-07-29T00:00:00"/>
    <d v="2023-07-17T00:00:00"/>
    <n v="37"/>
    <n v="4.5"/>
    <n v="0"/>
    <x v="0"/>
    <x v="28"/>
    <x v="290"/>
  </r>
  <r>
    <n v="334"/>
    <x v="333"/>
    <x v="30"/>
    <x v="0"/>
    <x v="2"/>
    <d v="2022-05-17T00:00:00"/>
    <d v="2022-11-27T00:00:00"/>
    <n v="313"/>
    <n v="1.7"/>
    <n v="1"/>
    <x v="1"/>
    <x v="7"/>
    <x v="291"/>
  </r>
  <r>
    <n v="335"/>
    <x v="334"/>
    <x v="19"/>
    <x v="1"/>
    <x v="0"/>
    <d v="2022-06-30T00:00:00"/>
    <d v="2023-04-26T00:00:00"/>
    <n v="264"/>
    <n v="3.8"/>
    <n v="1"/>
    <x v="1"/>
    <x v="8"/>
    <x v="292"/>
  </r>
  <r>
    <n v="336"/>
    <x v="335"/>
    <x v="28"/>
    <x v="0"/>
    <x v="1"/>
    <d v="2023-02-24T00:00:00"/>
    <d v="2023-08-30T00:00:00"/>
    <n v="285"/>
    <n v="1.8"/>
    <n v="0"/>
    <x v="0"/>
    <x v="20"/>
    <x v="293"/>
  </r>
  <r>
    <n v="337"/>
    <x v="336"/>
    <x v="46"/>
    <x v="0"/>
    <x v="1"/>
    <d v="2022-04-09T00:00:00"/>
    <d v="2022-04-25T00:00:00"/>
    <n v="256"/>
    <n v="1.2"/>
    <n v="0"/>
    <x v="0"/>
    <x v="1"/>
    <x v="294"/>
  </r>
  <r>
    <n v="338"/>
    <x v="337"/>
    <x v="16"/>
    <x v="0"/>
    <x v="2"/>
    <d v="2023-11-11T00:00:00"/>
    <d v="2024-02-11T00:00:00"/>
    <n v="36"/>
    <n v="5"/>
    <n v="1"/>
    <x v="1"/>
    <x v="19"/>
    <x v="104"/>
  </r>
  <r>
    <n v="339"/>
    <x v="338"/>
    <x v="5"/>
    <x v="1"/>
    <x v="1"/>
    <d v="2024-03-11T00:00:00"/>
    <d v="2024-11-25T00:00:00"/>
    <n v="441"/>
    <n v="2.2999999999999998"/>
    <n v="0"/>
    <x v="0"/>
    <x v="9"/>
    <x v="289"/>
  </r>
  <r>
    <n v="340"/>
    <x v="339"/>
    <x v="21"/>
    <x v="0"/>
    <x v="1"/>
    <d v="2023-09-09T00:00:00"/>
    <d v="2023-09-15T00:00:00"/>
    <n v="58"/>
    <n v="1.5"/>
    <n v="0"/>
    <x v="0"/>
    <x v="12"/>
    <x v="11"/>
  </r>
  <r>
    <n v="341"/>
    <x v="340"/>
    <x v="29"/>
    <x v="0"/>
    <x v="2"/>
    <d v="2023-07-13T00:00:00"/>
    <d v="2024-03-18T00:00:00"/>
    <n v="298"/>
    <n v="2.4"/>
    <n v="0"/>
    <x v="0"/>
    <x v="2"/>
    <x v="48"/>
  </r>
  <r>
    <n v="342"/>
    <x v="341"/>
    <x v="14"/>
    <x v="0"/>
    <x v="0"/>
    <d v="2022-10-01T00:00:00"/>
    <d v="2023-01-02T00:00:00"/>
    <n v="460"/>
    <n v="2.7"/>
    <n v="1"/>
    <x v="1"/>
    <x v="18"/>
    <x v="295"/>
  </r>
  <r>
    <n v="343"/>
    <x v="342"/>
    <x v="7"/>
    <x v="1"/>
    <x v="2"/>
    <d v="2023-03-11T00:00:00"/>
    <d v="2023-05-29T00:00:00"/>
    <n v="483"/>
    <n v="4.0999999999999996"/>
    <n v="0"/>
    <x v="0"/>
    <x v="24"/>
    <x v="296"/>
  </r>
  <r>
    <n v="344"/>
    <x v="343"/>
    <x v="19"/>
    <x v="1"/>
    <x v="0"/>
    <d v="2022-01-24T00:00:00"/>
    <d v="2022-06-18T00:00:00"/>
    <n v="416"/>
    <n v="3.2"/>
    <n v="0"/>
    <x v="0"/>
    <x v="22"/>
    <x v="297"/>
  </r>
  <r>
    <n v="345"/>
    <x v="344"/>
    <x v="13"/>
    <x v="1"/>
    <x v="2"/>
    <d v="2022-09-19T00:00:00"/>
    <d v="2023-02-04T00:00:00"/>
    <n v="254"/>
    <n v="2.9"/>
    <n v="0"/>
    <x v="0"/>
    <x v="14"/>
    <x v="298"/>
  </r>
  <r>
    <n v="346"/>
    <x v="345"/>
    <x v="16"/>
    <x v="1"/>
    <x v="2"/>
    <d v="2022-01-26T00:00:00"/>
    <d v="2022-02-14T00:00:00"/>
    <n v="37"/>
    <n v="1.4"/>
    <n v="1"/>
    <x v="1"/>
    <x v="22"/>
    <x v="299"/>
  </r>
  <r>
    <n v="347"/>
    <x v="346"/>
    <x v="22"/>
    <x v="1"/>
    <x v="1"/>
    <d v="2022-12-13T00:00:00"/>
    <d v="2023-04-29T00:00:00"/>
    <n v="67"/>
    <n v="1.1000000000000001"/>
    <n v="0"/>
    <x v="0"/>
    <x v="23"/>
    <x v="300"/>
  </r>
  <r>
    <n v="348"/>
    <x v="347"/>
    <x v="42"/>
    <x v="1"/>
    <x v="0"/>
    <d v="2024-02-14T00:00:00"/>
    <d v="2024-03-31T00:00:00"/>
    <n v="457"/>
    <n v="2"/>
    <n v="1"/>
    <x v="1"/>
    <x v="4"/>
    <x v="301"/>
  </r>
  <r>
    <n v="349"/>
    <x v="348"/>
    <x v="19"/>
    <x v="1"/>
    <x v="2"/>
    <d v="2022-05-27T00:00:00"/>
    <d v="2022-10-31T00:00:00"/>
    <n v="159"/>
    <n v="1.9"/>
    <n v="0"/>
    <x v="0"/>
    <x v="7"/>
    <x v="302"/>
  </r>
  <r>
    <n v="350"/>
    <x v="349"/>
    <x v="0"/>
    <x v="1"/>
    <x v="0"/>
    <d v="2023-12-17T00:00:00"/>
    <d v="2024-09-20T00:00:00"/>
    <n v="98"/>
    <n v="2.2999999999999998"/>
    <n v="0"/>
    <x v="0"/>
    <x v="21"/>
    <x v="265"/>
  </r>
  <r>
    <n v="351"/>
    <x v="350"/>
    <x v="16"/>
    <x v="0"/>
    <x v="1"/>
    <d v="2024-04-15T00:00:00"/>
    <d v="2024-10-05T00:00:00"/>
    <n v="193"/>
    <n v="1.2"/>
    <n v="0"/>
    <x v="0"/>
    <x v="13"/>
    <x v="303"/>
  </r>
  <r>
    <n v="352"/>
    <x v="351"/>
    <x v="4"/>
    <x v="1"/>
    <x v="2"/>
    <d v="2023-03-25T00:00:00"/>
    <d v="2023-07-27T00:00:00"/>
    <n v="463"/>
    <n v="4.0999999999999996"/>
    <n v="0"/>
    <x v="0"/>
    <x v="24"/>
    <x v="304"/>
  </r>
  <r>
    <n v="353"/>
    <x v="352"/>
    <x v="31"/>
    <x v="1"/>
    <x v="0"/>
    <d v="2024-04-11T00:00:00"/>
    <d v="2024-11-30T00:00:00"/>
    <n v="379"/>
    <n v="4.5999999999999996"/>
    <n v="0"/>
    <x v="0"/>
    <x v="13"/>
    <x v="305"/>
  </r>
  <r>
    <n v="354"/>
    <x v="353"/>
    <x v="22"/>
    <x v="0"/>
    <x v="0"/>
    <d v="2022-10-29T00:00:00"/>
    <d v="2023-01-03T00:00:00"/>
    <n v="296"/>
    <n v="3"/>
    <n v="0"/>
    <x v="0"/>
    <x v="18"/>
    <x v="306"/>
  </r>
  <r>
    <n v="355"/>
    <x v="354"/>
    <x v="43"/>
    <x v="1"/>
    <x v="0"/>
    <d v="2023-06-13T00:00:00"/>
    <d v="2024-06-06T00:00:00"/>
    <n v="432"/>
    <n v="2.4"/>
    <n v="0"/>
    <x v="0"/>
    <x v="17"/>
    <x v="307"/>
  </r>
  <r>
    <n v="356"/>
    <x v="355"/>
    <x v="41"/>
    <x v="1"/>
    <x v="2"/>
    <d v="2023-11-29T00:00:00"/>
    <d v="2024-10-10T00:00:00"/>
    <n v="214"/>
    <n v="3.3"/>
    <n v="1"/>
    <x v="1"/>
    <x v="19"/>
    <x v="155"/>
  </r>
  <r>
    <n v="357"/>
    <x v="356"/>
    <x v="11"/>
    <x v="0"/>
    <x v="2"/>
    <d v="2023-12-18T00:00:00"/>
    <d v="2024-03-09T00:00:00"/>
    <n v="199"/>
    <n v="2.2000000000000002"/>
    <n v="0"/>
    <x v="0"/>
    <x v="21"/>
    <x v="27"/>
  </r>
  <r>
    <n v="358"/>
    <x v="357"/>
    <x v="30"/>
    <x v="0"/>
    <x v="1"/>
    <d v="2023-07-31T00:00:00"/>
    <d v="2023-09-12T00:00:00"/>
    <n v="366"/>
    <n v="3.9"/>
    <n v="0"/>
    <x v="0"/>
    <x v="2"/>
    <x v="81"/>
  </r>
  <r>
    <n v="359"/>
    <x v="358"/>
    <x v="44"/>
    <x v="0"/>
    <x v="2"/>
    <d v="2022-10-06T00:00:00"/>
    <d v="2023-07-22T00:00:00"/>
    <n v="277"/>
    <n v="1.6"/>
    <n v="1"/>
    <x v="1"/>
    <x v="18"/>
    <x v="68"/>
  </r>
  <r>
    <n v="360"/>
    <x v="359"/>
    <x v="32"/>
    <x v="1"/>
    <x v="0"/>
    <d v="2024-06-10T00:00:00"/>
    <d v="2025-03-24T00:00:00"/>
    <n v="278"/>
    <n v="1.8"/>
    <n v="1"/>
    <x v="1"/>
    <x v="29"/>
    <x v="308"/>
  </r>
  <r>
    <n v="361"/>
    <x v="360"/>
    <x v="8"/>
    <x v="1"/>
    <x v="0"/>
    <d v="2023-08-24T00:00:00"/>
    <d v="2024-05-09T00:00:00"/>
    <n v="219"/>
    <n v="5"/>
    <n v="1"/>
    <x v="1"/>
    <x v="11"/>
    <x v="57"/>
  </r>
  <r>
    <n v="362"/>
    <x v="361"/>
    <x v="46"/>
    <x v="0"/>
    <x v="2"/>
    <d v="2024-01-11T00:00:00"/>
    <d v="2024-03-17T00:00:00"/>
    <n v="340"/>
    <n v="1.3"/>
    <n v="0"/>
    <x v="0"/>
    <x v="6"/>
    <x v="194"/>
  </r>
  <r>
    <n v="363"/>
    <x v="362"/>
    <x v="24"/>
    <x v="0"/>
    <x v="1"/>
    <d v="2024-01-08T00:00:00"/>
    <d v="2024-07-21T00:00:00"/>
    <n v="103"/>
    <n v="2.7"/>
    <n v="0"/>
    <x v="0"/>
    <x v="6"/>
    <x v="309"/>
  </r>
  <r>
    <n v="364"/>
    <x v="363"/>
    <x v="45"/>
    <x v="1"/>
    <x v="1"/>
    <d v="2022-08-31T00:00:00"/>
    <d v="2023-05-29T00:00:00"/>
    <n v="464"/>
    <n v="1.4"/>
    <n v="1"/>
    <x v="1"/>
    <x v="26"/>
    <x v="296"/>
  </r>
  <r>
    <n v="365"/>
    <x v="364"/>
    <x v="23"/>
    <x v="0"/>
    <x v="2"/>
    <d v="2023-01-28T00:00:00"/>
    <d v="2023-04-13T00:00:00"/>
    <n v="393"/>
    <n v="4.3"/>
    <n v="1"/>
    <x v="1"/>
    <x v="10"/>
    <x v="310"/>
  </r>
  <r>
    <n v="366"/>
    <x v="365"/>
    <x v="28"/>
    <x v="0"/>
    <x v="2"/>
    <d v="2022-01-01T00:00:00"/>
    <d v="2022-01-15T00:00:00"/>
    <n v="190"/>
    <n v="2"/>
    <n v="1"/>
    <x v="1"/>
    <x v="22"/>
    <x v="311"/>
  </r>
  <r>
    <n v="367"/>
    <x v="366"/>
    <x v="43"/>
    <x v="1"/>
    <x v="1"/>
    <d v="2023-12-27T00:00:00"/>
    <d v="2024-07-16T00:00:00"/>
    <n v="71"/>
    <n v="4.0999999999999996"/>
    <n v="1"/>
    <x v="1"/>
    <x v="21"/>
    <x v="238"/>
  </r>
  <r>
    <n v="368"/>
    <x v="367"/>
    <x v="46"/>
    <x v="1"/>
    <x v="1"/>
    <d v="2024-03-04T00:00:00"/>
    <d v="2024-09-21T00:00:00"/>
    <n v="245"/>
    <n v="2.5"/>
    <n v="0"/>
    <x v="0"/>
    <x v="9"/>
    <x v="312"/>
  </r>
  <r>
    <n v="369"/>
    <x v="368"/>
    <x v="28"/>
    <x v="0"/>
    <x v="2"/>
    <d v="2023-06-09T00:00:00"/>
    <d v="2023-11-24T00:00:00"/>
    <n v="332"/>
    <n v="4.7"/>
    <n v="1"/>
    <x v="1"/>
    <x v="17"/>
    <x v="313"/>
  </r>
  <r>
    <n v="370"/>
    <x v="369"/>
    <x v="13"/>
    <x v="0"/>
    <x v="1"/>
    <d v="2024-06-06T00:00:00"/>
    <d v="2024-08-01T00:00:00"/>
    <n v="176"/>
    <n v="3"/>
    <n v="1"/>
    <x v="1"/>
    <x v="29"/>
    <x v="314"/>
  </r>
  <r>
    <n v="371"/>
    <x v="370"/>
    <x v="28"/>
    <x v="1"/>
    <x v="2"/>
    <d v="2022-08-12T00:00:00"/>
    <d v="2022-10-26T00:00:00"/>
    <n v="95"/>
    <n v="3.5"/>
    <n v="1"/>
    <x v="1"/>
    <x v="26"/>
    <x v="315"/>
  </r>
  <r>
    <n v="372"/>
    <x v="371"/>
    <x v="22"/>
    <x v="1"/>
    <x v="0"/>
    <d v="2024-05-23T00:00:00"/>
    <d v="2024-09-23T00:00:00"/>
    <n v="488"/>
    <n v="4.8"/>
    <n v="1"/>
    <x v="1"/>
    <x v="0"/>
    <x v="316"/>
  </r>
  <r>
    <n v="373"/>
    <x v="372"/>
    <x v="29"/>
    <x v="1"/>
    <x v="0"/>
    <d v="2024-03-20T00:00:00"/>
    <d v="2024-09-11T00:00:00"/>
    <n v="214"/>
    <n v="1.2"/>
    <n v="1"/>
    <x v="1"/>
    <x v="9"/>
    <x v="100"/>
  </r>
  <r>
    <n v="374"/>
    <x v="373"/>
    <x v="28"/>
    <x v="1"/>
    <x v="2"/>
    <d v="2023-05-27T00:00:00"/>
    <d v="2023-11-23T00:00:00"/>
    <n v="14"/>
    <n v="4.4000000000000004"/>
    <n v="0"/>
    <x v="0"/>
    <x v="16"/>
    <x v="317"/>
  </r>
  <r>
    <n v="375"/>
    <x v="374"/>
    <x v="21"/>
    <x v="1"/>
    <x v="2"/>
    <d v="2022-09-12T00:00:00"/>
    <d v="2023-03-04T00:00:00"/>
    <n v="30"/>
    <n v="4.8"/>
    <n v="1"/>
    <x v="1"/>
    <x v="14"/>
    <x v="161"/>
  </r>
  <r>
    <n v="376"/>
    <x v="375"/>
    <x v="18"/>
    <x v="1"/>
    <x v="2"/>
    <d v="2022-01-14T00:00:00"/>
    <d v="2022-01-31T00:00:00"/>
    <n v="309"/>
    <n v="2"/>
    <n v="1"/>
    <x v="1"/>
    <x v="22"/>
    <x v="318"/>
  </r>
  <r>
    <n v="377"/>
    <x v="376"/>
    <x v="8"/>
    <x v="1"/>
    <x v="2"/>
    <d v="2022-02-04T00:00:00"/>
    <d v="2022-06-26T00:00:00"/>
    <n v="495"/>
    <n v="2.8"/>
    <n v="0"/>
    <x v="0"/>
    <x v="15"/>
    <x v="319"/>
  </r>
  <r>
    <n v="378"/>
    <x v="377"/>
    <x v="21"/>
    <x v="1"/>
    <x v="1"/>
    <d v="2022-12-01T00:00:00"/>
    <d v="2023-05-03T00:00:00"/>
    <n v="459"/>
    <n v="1.3"/>
    <n v="0"/>
    <x v="0"/>
    <x v="23"/>
    <x v="109"/>
  </r>
  <r>
    <n v="379"/>
    <x v="378"/>
    <x v="43"/>
    <x v="1"/>
    <x v="2"/>
    <d v="2023-05-09T00:00:00"/>
    <d v="2023-08-12T00:00:00"/>
    <n v="36"/>
    <n v="3.1"/>
    <n v="1"/>
    <x v="1"/>
    <x v="16"/>
    <x v="169"/>
  </r>
  <r>
    <n v="380"/>
    <x v="379"/>
    <x v="46"/>
    <x v="1"/>
    <x v="1"/>
    <d v="2022-01-10T00:00:00"/>
    <d v="2022-11-11T00:00:00"/>
    <n v="299"/>
    <n v="4.8"/>
    <n v="0"/>
    <x v="0"/>
    <x v="22"/>
    <x v="73"/>
  </r>
  <r>
    <n v="381"/>
    <x v="380"/>
    <x v="12"/>
    <x v="1"/>
    <x v="1"/>
    <d v="2023-03-16T00:00:00"/>
    <d v="2024-01-08T00:00:00"/>
    <n v="376"/>
    <n v="4.3"/>
    <n v="1"/>
    <x v="1"/>
    <x v="24"/>
    <x v="320"/>
  </r>
  <r>
    <n v="382"/>
    <x v="381"/>
    <x v="9"/>
    <x v="0"/>
    <x v="2"/>
    <d v="2024-05-28T00:00:00"/>
    <d v="2024-07-01T00:00:00"/>
    <n v="236"/>
    <n v="2.2999999999999998"/>
    <n v="0"/>
    <x v="0"/>
    <x v="0"/>
    <x v="321"/>
  </r>
  <r>
    <n v="383"/>
    <x v="382"/>
    <x v="22"/>
    <x v="1"/>
    <x v="1"/>
    <d v="2022-05-17T00:00:00"/>
    <d v="2023-03-17T00:00:00"/>
    <n v="279"/>
    <n v="1.9"/>
    <n v="0"/>
    <x v="0"/>
    <x v="7"/>
    <x v="322"/>
  </r>
  <r>
    <n v="384"/>
    <x v="383"/>
    <x v="2"/>
    <x v="0"/>
    <x v="1"/>
    <d v="2023-01-15T00:00:00"/>
    <d v="2023-06-27T00:00:00"/>
    <n v="274"/>
    <n v="1.2"/>
    <n v="0"/>
    <x v="0"/>
    <x v="10"/>
    <x v="323"/>
  </r>
  <r>
    <n v="385"/>
    <x v="384"/>
    <x v="44"/>
    <x v="1"/>
    <x v="0"/>
    <d v="2022-01-05T00:00:00"/>
    <d v="2022-07-03T00:00:00"/>
    <n v="290"/>
    <n v="1.7"/>
    <n v="1"/>
    <x v="1"/>
    <x v="22"/>
    <x v="324"/>
  </r>
  <r>
    <n v="386"/>
    <x v="385"/>
    <x v="36"/>
    <x v="1"/>
    <x v="0"/>
    <d v="2023-09-16T00:00:00"/>
    <d v="2024-03-11T00:00:00"/>
    <n v="45"/>
    <n v="3"/>
    <n v="1"/>
    <x v="1"/>
    <x v="12"/>
    <x v="325"/>
  </r>
  <r>
    <n v="387"/>
    <x v="386"/>
    <x v="43"/>
    <x v="1"/>
    <x v="0"/>
    <d v="2023-03-03T00:00:00"/>
    <d v="2023-10-15T00:00:00"/>
    <n v="40"/>
    <n v="2.7"/>
    <n v="0"/>
    <x v="0"/>
    <x v="24"/>
    <x v="326"/>
  </r>
  <r>
    <n v="388"/>
    <x v="387"/>
    <x v="22"/>
    <x v="1"/>
    <x v="0"/>
    <d v="2023-08-25T00:00:00"/>
    <d v="2024-06-20T00:00:00"/>
    <n v="311"/>
    <n v="3.3"/>
    <n v="0"/>
    <x v="0"/>
    <x v="11"/>
    <x v="94"/>
  </r>
  <r>
    <n v="389"/>
    <x v="388"/>
    <x v="14"/>
    <x v="1"/>
    <x v="0"/>
    <d v="2024-03-08T00:00:00"/>
    <d v="2024-03-15T00:00:00"/>
    <n v="258"/>
    <n v="3"/>
    <n v="0"/>
    <x v="0"/>
    <x v="9"/>
    <x v="327"/>
  </r>
  <r>
    <n v="390"/>
    <x v="389"/>
    <x v="10"/>
    <x v="1"/>
    <x v="0"/>
    <d v="2024-01-06T00:00:00"/>
    <d v="2024-01-22T00:00:00"/>
    <n v="200"/>
    <n v="3"/>
    <n v="0"/>
    <x v="0"/>
    <x v="6"/>
    <x v="328"/>
  </r>
  <r>
    <n v="391"/>
    <x v="390"/>
    <x v="40"/>
    <x v="1"/>
    <x v="0"/>
    <d v="2022-01-08T00:00:00"/>
    <d v="2022-08-05T00:00:00"/>
    <n v="450"/>
    <n v="4.5"/>
    <n v="1"/>
    <x v="1"/>
    <x v="22"/>
    <x v="329"/>
  </r>
  <r>
    <n v="392"/>
    <x v="391"/>
    <x v="24"/>
    <x v="1"/>
    <x v="0"/>
    <d v="2023-04-25T00:00:00"/>
    <d v="2023-09-30T00:00:00"/>
    <n v="162"/>
    <n v="2.8"/>
    <n v="1"/>
    <x v="1"/>
    <x v="3"/>
    <x v="330"/>
  </r>
  <r>
    <n v="393"/>
    <x v="392"/>
    <x v="2"/>
    <x v="0"/>
    <x v="2"/>
    <d v="2024-03-17T00:00:00"/>
    <d v="2025-03-02T00:00:00"/>
    <n v="484"/>
    <n v="2.4"/>
    <n v="1"/>
    <x v="1"/>
    <x v="9"/>
    <x v="331"/>
  </r>
  <r>
    <n v="394"/>
    <x v="393"/>
    <x v="17"/>
    <x v="0"/>
    <x v="2"/>
    <d v="2023-01-17T00:00:00"/>
    <d v="2023-07-27T00:00:00"/>
    <n v="453"/>
    <n v="1.2"/>
    <n v="0"/>
    <x v="0"/>
    <x v="10"/>
    <x v="304"/>
  </r>
  <r>
    <n v="395"/>
    <x v="394"/>
    <x v="8"/>
    <x v="1"/>
    <x v="1"/>
    <d v="2024-01-19T00:00:00"/>
    <d v="2024-04-08T00:00:00"/>
    <n v="201"/>
    <n v="4"/>
    <n v="1"/>
    <x v="1"/>
    <x v="6"/>
    <x v="332"/>
  </r>
  <r>
    <n v="396"/>
    <x v="395"/>
    <x v="17"/>
    <x v="1"/>
    <x v="2"/>
    <d v="2022-06-09T00:00:00"/>
    <d v="2022-09-02T00:00:00"/>
    <n v="394"/>
    <n v="2.2000000000000002"/>
    <n v="1"/>
    <x v="1"/>
    <x v="8"/>
    <x v="333"/>
  </r>
  <r>
    <n v="397"/>
    <x v="396"/>
    <x v="18"/>
    <x v="0"/>
    <x v="0"/>
    <d v="2022-06-15T00:00:00"/>
    <d v="2022-12-28T00:00:00"/>
    <n v="100"/>
    <n v="4.3"/>
    <n v="1"/>
    <x v="1"/>
    <x v="8"/>
    <x v="334"/>
  </r>
  <r>
    <n v="398"/>
    <x v="397"/>
    <x v="3"/>
    <x v="0"/>
    <x v="0"/>
    <d v="2024-06-04T00:00:00"/>
    <d v="2025-01-04T00:00:00"/>
    <n v="420"/>
    <n v="1.4"/>
    <n v="1"/>
    <x v="1"/>
    <x v="29"/>
    <x v="335"/>
  </r>
  <r>
    <n v="399"/>
    <x v="398"/>
    <x v="20"/>
    <x v="0"/>
    <x v="2"/>
    <d v="2022-10-30T00:00:00"/>
    <d v="2022-11-15T00:00:00"/>
    <n v="219"/>
    <n v="1.3"/>
    <n v="1"/>
    <x v="1"/>
    <x v="18"/>
    <x v="336"/>
  </r>
  <r>
    <n v="400"/>
    <x v="399"/>
    <x v="25"/>
    <x v="1"/>
    <x v="1"/>
    <d v="2023-11-14T00:00:00"/>
    <d v="2024-05-21T00:00:00"/>
    <n v="483"/>
    <n v="4.3"/>
    <n v="0"/>
    <x v="0"/>
    <x v="19"/>
    <x v="337"/>
  </r>
  <r>
    <n v="401"/>
    <x v="400"/>
    <x v="37"/>
    <x v="1"/>
    <x v="0"/>
    <d v="2023-02-25T00:00:00"/>
    <d v="2023-04-16T00:00:00"/>
    <n v="268"/>
    <n v="3.6"/>
    <n v="1"/>
    <x v="1"/>
    <x v="20"/>
    <x v="338"/>
  </r>
  <r>
    <n v="402"/>
    <x v="401"/>
    <x v="43"/>
    <x v="1"/>
    <x v="1"/>
    <d v="2023-06-25T00:00:00"/>
    <d v="2023-10-03T00:00:00"/>
    <n v="447"/>
    <n v="4.0999999999999996"/>
    <n v="0"/>
    <x v="0"/>
    <x v="17"/>
    <x v="138"/>
  </r>
  <r>
    <n v="403"/>
    <x v="402"/>
    <x v="35"/>
    <x v="1"/>
    <x v="0"/>
    <d v="2023-01-05T00:00:00"/>
    <d v="2023-04-29T00:00:00"/>
    <n v="331"/>
    <n v="4.3"/>
    <n v="1"/>
    <x v="1"/>
    <x v="10"/>
    <x v="300"/>
  </r>
  <r>
    <n v="404"/>
    <x v="403"/>
    <x v="35"/>
    <x v="1"/>
    <x v="1"/>
    <d v="2022-04-03T00:00:00"/>
    <d v="2023-01-18T00:00:00"/>
    <n v="94"/>
    <n v="2.1"/>
    <n v="0"/>
    <x v="0"/>
    <x v="1"/>
    <x v="258"/>
  </r>
  <r>
    <n v="405"/>
    <x v="404"/>
    <x v="25"/>
    <x v="0"/>
    <x v="1"/>
    <d v="2024-02-24T00:00:00"/>
    <d v="2024-03-07T00:00:00"/>
    <n v="356"/>
    <n v="1.6"/>
    <n v="1"/>
    <x v="1"/>
    <x v="4"/>
    <x v="339"/>
  </r>
  <r>
    <n v="406"/>
    <x v="405"/>
    <x v="3"/>
    <x v="1"/>
    <x v="2"/>
    <d v="2023-08-29T00:00:00"/>
    <d v="2024-02-13T00:00:00"/>
    <n v="25"/>
    <n v="2.4"/>
    <n v="0"/>
    <x v="0"/>
    <x v="11"/>
    <x v="340"/>
  </r>
  <r>
    <n v="407"/>
    <x v="406"/>
    <x v="20"/>
    <x v="0"/>
    <x v="0"/>
    <d v="2023-01-29T00:00:00"/>
    <d v="2023-05-11T00:00:00"/>
    <n v="224"/>
    <n v="3.6"/>
    <n v="0"/>
    <x v="0"/>
    <x v="10"/>
    <x v="341"/>
  </r>
  <r>
    <n v="408"/>
    <x v="407"/>
    <x v="44"/>
    <x v="1"/>
    <x v="0"/>
    <d v="2022-08-20T00:00:00"/>
    <d v="2023-08-08T00:00:00"/>
    <n v="13"/>
    <n v="2.5"/>
    <n v="1"/>
    <x v="1"/>
    <x v="26"/>
    <x v="342"/>
  </r>
  <r>
    <n v="409"/>
    <x v="408"/>
    <x v="25"/>
    <x v="1"/>
    <x v="1"/>
    <d v="2022-02-18T00:00:00"/>
    <d v="2023-02-02T00:00:00"/>
    <n v="427"/>
    <n v="2.7"/>
    <n v="0"/>
    <x v="0"/>
    <x v="15"/>
    <x v="343"/>
  </r>
  <r>
    <n v="410"/>
    <x v="409"/>
    <x v="16"/>
    <x v="0"/>
    <x v="1"/>
    <d v="2024-06-02T00:00:00"/>
    <d v="2024-12-31T00:00:00"/>
    <n v="185"/>
    <n v="3.1"/>
    <n v="0"/>
    <x v="0"/>
    <x v="29"/>
    <x v="40"/>
  </r>
  <r>
    <n v="411"/>
    <x v="410"/>
    <x v="36"/>
    <x v="1"/>
    <x v="0"/>
    <d v="2024-04-16T00:00:00"/>
    <d v="2025-03-16T00:00:00"/>
    <n v="261"/>
    <n v="2.7"/>
    <n v="0"/>
    <x v="0"/>
    <x v="13"/>
    <x v="344"/>
  </r>
  <r>
    <n v="412"/>
    <x v="411"/>
    <x v="44"/>
    <x v="1"/>
    <x v="1"/>
    <d v="2022-02-09T00:00:00"/>
    <d v="2022-06-02T00:00:00"/>
    <n v="122"/>
    <n v="3.6"/>
    <n v="1"/>
    <x v="1"/>
    <x v="15"/>
    <x v="345"/>
  </r>
  <r>
    <n v="413"/>
    <x v="412"/>
    <x v="27"/>
    <x v="1"/>
    <x v="0"/>
    <d v="2024-03-22T00:00:00"/>
    <d v="2024-06-12T00:00:00"/>
    <n v="335"/>
    <n v="2.9"/>
    <n v="0"/>
    <x v="0"/>
    <x v="9"/>
    <x v="346"/>
  </r>
  <r>
    <n v="414"/>
    <x v="413"/>
    <x v="37"/>
    <x v="0"/>
    <x v="1"/>
    <d v="2024-03-02T00:00:00"/>
    <d v="2024-03-16T00:00:00"/>
    <n v="185"/>
    <n v="3.4"/>
    <n v="1"/>
    <x v="1"/>
    <x v="9"/>
    <x v="347"/>
  </r>
  <r>
    <n v="415"/>
    <x v="414"/>
    <x v="20"/>
    <x v="1"/>
    <x v="2"/>
    <d v="2023-06-22T00:00:00"/>
    <d v="2024-05-10T00:00:00"/>
    <n v="71"/>
    <n v="1.8"/>
    <n v="0"/>
    <x v="0"/>
    <x v="17"/>
    <x v="348"/>
  </r>
  <r>
    <n v="416"/>
    <x v="415"/>
    <x v="13"/>
    <x v="1"/>
    <x v="2"/>
    <d v="2023-07-01T00:00:00"/>
    <d v="2024-05-14T00:00:00"/>
    <n v="231"/>
    <n v="5"/>
    <n v="1"/>
    <x v="1"/>
    <x v="2"/>
    <x v="6"/>
  </r>
  <r>
    <n v="417"/>
    <x v="416"/>
    <x v="12"/>
    <x v="0"/>
    <x v="2"/>
    <d v="2023-11-13T00:00:00"/>
    <d v="2024-07-31T00:00:00"/>
    <n v="381"/>
    <n v="3.7"/>
    <n v="1"/>
    <x v="1"/>
    <x v="19"/>
    <x v="349"/>
  </r>
  <r>
    <n v="418"/>
    <x v="417"/>
    <x v="1"/>
    <x v="0"/>
    <x v="2"/>
    <d v="2022-11-11T00:00:00"/>
    <d v="2023-06-08T00:00:00"/>
    <n v="116"/>
    <n v="2.9"/>
    <n v="1"/>
    <x v="1"/>
    <x v="25"/>
    <x v="350"/>
  </r>
  <r>
    <n v="419"/>
    <x v="418"/>
    <x v="41"/>
    <x v="0"/>
    <x v="0"/>
    <d v="2023-02-10T00:00:00"/>
    <d v="2023-07-02T00:00:00"/>
    <n v="134"/>
    <n v="2.2000000000000002"/>
    <n v="1"/>
    <x v="1"/>
    <x v="20"/>
    <x v="112"/>
  </r>
  <r>
    <n v="420"/>
    <x v="419"/>
    <x v="5"/>
    <x v="1"/>
    <x v="1"/>
    <d v="2023-03-17T00:00:00"/>
    <d v="2024-03-06T00:00:00"/>
    <n v="14"/>
    <n v="4.5999999999999996"/>
    <n v="0"/>
    <x v="0"/>
    <x v="24"/>
    <x v="189"/>
  </r>
  <r>
    <n v="421"/>
    <x v="420"/>
    <x v="19"/>
    <x v="1"/>
    <x v="2"/>
    <d v="2022-08-13T00:00:00"/>
    <d v="2022-08-25T00:00:00"/>
    <n v="77"/>
    <n v="3.9"/>
    <n v="0"/>
    <x v="0"/>
    <x v="26"/>
    <x v="140"/>
  </r>
  <r>
    <n v="422"/>
    <x v="421"/>
    <x v="29"/>
    <x v="0"/>
    <x v="1"/>
    <d v="2022-12-22T00:00:00"/>
    <d v="2023-04-14T00:00:00"/>
    <n v="132"/>
    <n v="3.2"/>
    <n v="0"/>
    <x v="0"/>
    <x v="23"/>
    <x v="351"/>
  </r>
  <r>
    <n v="423"/>
    <x v="422"/>
    <x v="31"/>
    <x v="1"/>
    <x v="0"/>
    <d v="2022-08-30T00:00:00"/>
    <d v="2022-09-06T00:00:00"/>
    <n v="109"/>
    <n v="3.9"/>
    <n v="0"/>
    <x v="0"/>
    <x v="26"/>
    <x v="352"/>
  </r>
  <r>
    <n v="424"/>
    <x v="423"/>
    <x v="46"/>
    <x v="1"/>
    <x v="2"/>
    <d v="2022-11-25T00:00:00"/>
    <d v="2023-09-13T00:00:00"/>
    <n v="420"/>
    <n v="1.8"/>
    <n v="0"/>
    <x v="0"/>
    <x v="25"/>
    <x v="353"/>
  </r>
  <r>
    <n v="425"/>
    <x v="424"/>
    <x v="40"/>
    <x v="1"/>
    <x v="0"/>
    <d v="2024-03-01T00:00:00"/>
    <d v="2024-05-10T00:00:00"/>
    <n v="170"/>
    <n v="4.2"/>
    <n v="1"/>
    <x v="1"/>
    <x v="9"/>
    <x v="348"/>
  </r>
  <r>
    <n v="426"/>
    <x v="425"/>
    <x v="5"/>
    <x v="0"/>
    <x v="0"/>
    <d v="2022-12-19T00:00:00"/>
    <d v="2023-03-19T00:00:00"/>
    <n v="103"/>
    <n v="2.8"/>
    <n v="0"/>
    <x v="0"/>
    <x v="23"/>
    <x v="354"/>
  </r>
  <r>
    <n v="427"/>
    <x v="426"/>
    <x v="3"/>
    <x v="1"/>
    <x v="2"/>
    <d v="2023-07-13T00:00:00"/>
    <d v="2023-11-01T00:00:00"/>
    <n v="417"/>
    <n v="4.2"/>
    <n v="0"/>
    <x v="0"/>
    <x v="2"/>
    <x v="355"/>
  </r>
  <r>
    <n v="428"/>
    <x v="427"/>
    <x v="22"/>
    <x v="0"/>
    <x v="1"/>
    <d v="2023-06-07T00:00:00"/>
    <d v="2024-04-02T00:00:00"/>
    <n v="105"/>
    <n v="1.4"/>
    <n v="0"/>
    <x v="0"/>
    <x v="17"/>
    <x v="356"/>
  </r>
  <r>
    <n v="429"/>
    <x v="428"/>
    <x v="22"/>
    <x v="0"/>
    <x v="1"/>
    <d v="2023-07-05T00:00:00"/>
    <d v="2024-02-15T00:00:00"/>
    <n v="122"/>
    <n v="2.9"/>
    <n v="1"/>
    <x v="1"/>
    <x v="2"/>
    <x v="357"/>
  </r>
  <r>
    <n v="430"/>
    <x v="429"/>
    <x v="32"/>
    <x v="0"/>
    <x v="1"/>
    <d v="2022-06-21T00:00:00"/>
    <d v="2023-04-11T00:00:00"/>
    <n v="423"/>
    <n v="4.8"/>
    <n v="0"/>
    <x v="0"/>
    <x v="8"/>
    <x v="358"/>
  </r>
  <r>
    <n v="431"/>
    <x v="430"/>
    <x v="41"/>
    <x v="0"/>
    <x v="0"/>
    <d v="2022-09-14T00:00:00"/>
    <d v="2022-09-17T00:00:00"/>
    <n v="284"/>
    <n v="1.7"/>
    <n v="0"/>
    <x v="0"/>
    <x v="14"/>
    <x v="359"/>
  </r>
  <r>
    <n v="432"/>
    <x v="431"/>
    <x v="46"/>
    <x v="1"/>
    <x v="0"/>
    <d v="2023-11-26T00:00:00"/>
    <d v="2024-01-30T00:00:00"/>
    <n v="194"/>
    <n v="2.6"/>
    <n v="1"/>
    <x v="1"/>
    <x v="19"/>
    <x v="41"/>
  </r>
  <r>
    <n v="433"/>
    <x v="432"/>
    <x v="18"/>
    <x v="0"/>
    <x v="0"/>
    <d v="2022-11-15T00:00:00"/>
    <d v="2023-06-24T00:00:00"/>
    <n v="18"/>
    <n v="4.4000000000000004"/>
    <n v="0"/>
    <x v="0"/>
    <x v="25"/>
    <x v="360"/>
  </r>
  <r>
    <n v="434"/>
    <x v="433"/>
    <x v="15"/>
    <x v="1"/>
    <x v="2"/>
    <d v="2022-01-29T00:00:00"/>
    <d v="2023-01-23T00:00:00"/>
    <n v="111"/>
    <n v="2.7"/>
    <n v="0"/>
    <x v="0"/>
    <x v="22"/>
    <x v="361"/>
  </r>
  <r>
    <n v="435"/>
    <x v="434"/>
    <x v="34"/>
    <x v="1"/>
    <x v="0"/>
    <d v="2024-02-25T00:00:00"/>
    <d v="2024-10-19T00:00:00"/>
    <n v="276"/>
    <n v="3.7"/>
    <n v="1"/>
    <x v="1"/>
    <x v="4"/>
    <x v="362"/>
  </r>
  <r>
    <n v="436"/>
    <x v="435"/>
    <x v="28"/>
    <x v="1"/>
    <x v="1"/>
    <d v="2023-08-10T00:00:00"/>
    <d v="2024-02-21T00:00:00"/>
    <n v="400"/>
    <n v="1.1000000000000001"/>
    <n v="0"/>
    <x v="0"/>
    <x v="11"/>
    <x v="363"/>
  </r>
  <r>
    <n v="437"/>
    <x v="436"/>
    <x v="46"/>
    <x v="0"/>
    <x v="0"/>
    <d v="2022-12-23T00:00:00"/>
    <d v="2023-09-18T00:00:00"/>
    <n v="189"/>
    <n v="5"/>
    <n v="1"/>
    <x v="1"/>
    <x v="23"/>
    <x v="364"/>
  </r>
  <r>
    <n v="438"/>
    <x v="437"/>
    <x v="36"/>
    <x v="1"/>
    <x v="2"/>
    <d v="2024-01-06T00:00:00"/>
    <d v="2024-05-20T00:00:00"/>
    <n v="106"/>
    <n v="4.5999999999999996"/>
    <n v="0"/>
    <x v="0"/>
    <x v="6"/>
    <x v="365"/>
  </r>
  <r>
    <n v="439"/>
    <x v="438"/>
    <x v="38"/>
    <x v="1"/>
    <x v="0"/>
    <d v="2022-03-31T00:00:00"/>
    <d v="2022-09-24T00:00:00"/>
    <n v="220"/>
    <n v="1.5"/>
    <n v="1"/>
    <x v="1"/>
    <x v="5"/>
    <x v="366"/>
  </r>
  <r>
    <n v="440"/>
    <x v="439"/>
    <x v="33"/>
    <x v="0"/>
    <x v="0"/>
    <d v="2022-07-03T00:00:00"/>
    <d v="2023-02-24T00:00:00"/>
    <n v="176"/>
    <n v="3.1"/>
    <n v="0"/>
    <x v="0"/>
    <x v="28"/>
    <x v="367"/>
  </r>
  <r>
    <n v="441"/>
    <x v="440"/>
    <x v="18"/>
    <x v="1"/>
    <x v="0"/>
    <d v="2023-05-02T00:00:00"/>
    <d v="2023-10-17T00:00:00"/>
    <n v="352"/>
    <n v="1.9"/>
    <n v="1"/>
    <x v="1"/>
    <x v="16"/>
    <x v="368"/>
  </r>
  <r>
    <n v="442"/>
    <x v="441"/>
    <x v="3"/>
    <x v="1"/>
    <x v="2"/>
    <d v="2024-05-20T00:00:00"/>
    <d v="2025-04-22T00:00:00"/>
    <n v="382"/>
    <n v="2.5"/>
    <n v="0"/>
    <x v="0"/>
    <x v="0"/>
    <x v="369"/>
  </r>
  <r>
    <n v="443"/>
    <x v="442"/>
    <x v="8"/>
    <x v="0"/>
    <x v="0"/>
    <d v="2023-11-02T00:00:00"/>
    <d v="2024-05-26T00:00:00"/>
    <n v="132"/>
    <n v="1.1000000000000001"/>
    <n v="0"/>
    <x v="0"/>
    <x v="19"/>
    <x v="370"/>
  </r>
  <r>
    <n v="444"/>
    <x v="443"/>
    <x v="30"/>
    <x v="0"/>
    <x v="2"/>
    <d v="2023-08-17T00:00:00"/>
    <d v="2024-03-13T00:00:00"/>
    <n v="331"/>
    <n v="3.7"/>
    <n v="1"/>
    <x v="1"/>
    <x v="11"/>
    <x v="371"/>
  </r>
  <r>
    <n v="445"/>
    <x v="444"/>
    <x v="38"/>
    <x v="1"/>
    <x v="1"/>
    <d v="2023-09-03T00:00:00"/>
    <d v="2024-07-06T00:00:00"/>
    <n v="94"/>
    <n v="2.7"/>
    <n v="0"/>
    <x v="0"/>
    <x v="12"/>
    <x v="372"/>
  </r>
  <r>
    <n v="446"/>
    <x v="445"/>
    <x v="25"/>
    <x v="1"/>
    <x v="0"/>
    <d v="2023-09-12T00:00:00"/>
    <d v="2024-04-27T00:00:00"/>
    <n v="241"/>
    <n v="1.9"/>
    <n v="1"/>
    <x v="1"/>
    <x v="12"/>
    <x v="373"/>
  </r>
  <r>
    <n v="447"/>
    <x v="446"/>
    <x v="19"/>
    <x v="1"/>
    <x v="1"/>
    <d v="2022-03-03T00:00:00"/>
    <d v="2023-01-27T00:00:00"/>
    <n v="354"/>
    <n v="2.2000000000000002"/>
    <n v="1"/>
    <x v="1"/>
    <x v="5"/>
    <x v="173"/>
  </r>
  <r>
    <n v="448"/>
    <x v="447"/>
    <x v="19"/>
    <x v="1"/>
    <x v="0"/>
    <d v="2024-01-06T00:00:00"/>
    <d v="2024-01-16T00:00:00"/>
    <n v="13"/>
    <n v="1.5"/>
    <n v="0"/>
    <x v="0"/>
    <x v="6"/>
    <x v="374"/>
  </r>
  <r>
    <n v="449"/>
    <x v="448"/>
    <x v="41"/>
    <x v="1"/>
    <x v="2"/>
    <d v="2024-01-23T00:00:00"/>
    <d v="2024-04-08T00:00:00"/>
    <n v="230"/>
    <n v="3.9"/>
    <n v="1"/>
    <x v="1"/>
    <x v="6"/>
    <x v="332"/>
  </r>
  <r>
    <n v="450"/>
    <x v="449"/>
    <x v="35"/>
    <x v="0"/>
    <x v="0"/>
    <d v="2022-06-16T00:00:00"/>
    <d v="2023-06-16T00:00:00"/>
    <n v="261"/>
    <n v="2.6"/>
    <n v="0"/>
    <x v="0"/>
    <x v="8"/>
    <x v="180"/>
  </r>
  <r>
    <n v="451"/>
    <x v="450"/>
    <x v="31"/>
    <x v="1"/>
    <x v="1"/>
    <d v="2022-12-24T00:00:00"/>
    <d v="2023-10-09T00:00:00"/>
    <n v="451"/>
    <n v="3.2"/>
    <n v="0"/>
    <x v="0"/>
    <x v="23"/>
    <x v="196"/>
  </r>
  <r>
    <n v="452"/>
    <x v="451"/>
    <x v="41"/>
    <x v="1"/>
    <x v="1"/>
    <d v="2023-08-26T00:00:00"/>
    <d v="2023-12-23T00:00:00"/>
    <n v="383"/>
    <n v="3.5"/>
    <n v="0"/>
    <x v="0"/>
    <x v="11"/>
    <x v="139"/>
  </r>
  <r>
    <n v="453"/>
    <x v="452"/>
    <x v="17"/>
    <x v="0"/>
    <x v="0"/>
    <d v="2024-03-05T00:00:00"/>
    <d v="2024-04-24T00:00:00"/>
    <n v="163"/>
    <n v="3.3"/>
    <n v="0"/>
    <x v="0"/>
    <x v="9"/>
    <x v="206"/>
  </r>
  <r>
    <n v="454"/>
    <x v="453"/>
    <x v="13"/>
    <x v="1"/>
    <x v="0"/>
    <d v="2023-02-06T00:00:00"/>
    <d v="2023-04-02T00:00:00"/>
    <n v="176"/>
    <n v="4.5999999999999996"/>
    <n v="0"/>
    <x v="0"/>
    <x v="20"/>
    <x v="375"/>
  </r>
  <r>
    <n v="455"/>
    <x v="454"/>
    <x v="6"/>
    <x v="1"/>
    <x v="2"/>
    <d v="2022-07-24T00:00:00"/>
    <d v="2023-04-05T00:00:00"/>
    <n v="217"/>
    <n v="1.5"/>
    <n v="1"/>
    <x v="1"/>
    <x v="28"/>
    <x v="376"/>
  </r>
  <r>
    <n v="456"/>
    <x v="455"/>
    <x v="24"/>
    <x v="1"/>
    <x v="2"/>
    <d v="2022-03-05T00:00:00"/>
    <d v="2022-11-04T00:00:00"/>
    <n v="64"/>
    <n v="2.6"/>
    <n v="0"/>
    <x v="0"/>
    <x v="5"/>
    <x v="39"/>
  </r>
  <r>
    <n v="457"/>
    <x v="456"/>
    <x v="12"/>
    <x v="0"/>
    <x v="2"/>
    <d v="2023-07-27T00:00:00"/>
    <d v="2023-12-07T00:00:00"/>
    <n v="193"/>
    <n v="1.2"/>
    <n v="0"/>
    <x v="0"/>
    <x v="2"/>
    <x v="137"/>
  </r>
  <r>
    <n v="458"/>
    <x v="457"/>
    <x v="2"/>
    <x v="1"/>
    <x v="0"/>
    <d v="2022-01-03T00:00:00"/>
    <d v="2022-08-19T00:00:00"/>
    <n v="68"/>
    <n v="2.1"/>
    <n v="0"/>
    <x v="0"/>
    <x v="22"/>
    <x v="172"/>
  </r>
  <r>
    <n v="459"/>
    <x v="458"/>
    <x v="18"/>
    <x v="1"/>
    <x v="2"/>
    <d v="2022-04-04T00:00:00"/>
    <d v="2022-06-25T00:00:00"/>
    <n v="282"/>
    <n v="1.5"/>
    <n v="1"/>
    <x v="1"/>
    <x v="1"/>
    <x v="377"/>
  </r>
  <r>
    <n v="460"/>
    <x v="459"/>
    <x v="24"/>
    <x v="1"/>
    <x v="1"/>
    <d v="2022-07-01T00:00:00"/>
    <d v="2022-09-04T00:00:00"/>
    <n v="3"/>
    <n v="1.5"/>
    <n v="0"/>
    <x v="0"/>
    <x v="28"/>
    <x v="378"/>
  </r>
  <r>
    <n v="461"/>
    <x v="460"/>
    <x v="0"/>
    <x v="0"/>
    <x v="0"/>
    <d v="2022-02-18T00:00:00"/>
    <d v="2023-02-06T00:00:00"/>
    <n v="120"/>
    <n v="2.2000000000000002"/>
    <n v="0"/>
    <x v="0"/>
    <x v="15"/>
    <x v="379"/>
  </r>
  <r>
    <n v="462"/>
    <x v="461"/>
    <x v="23"/>
    <x v="1"/>
    <x v="2"/>
    <d v="2023-05-30T00:00:00"/>
    <d v="2023-09-03T00:00:00"/>
    <n v="275"/>
    <n v="3.5"/>
    <n v="0"/>
    <x v="0"/>
    <x v="16"/>
    <x v="380"/>
  </r>
  <r>
    <n v="463"/>
    <x v="462"/>
    <x v="20"/>
    <x v="0"/>
    <x v="2"/>
    <d v="2023-09-19T00:00:00"/>
    <d v="2024-04-24T00:00:00"/>
    <n v="208"/>
    <n v="4.4000000000000004"/>
    <n v="0"/>
    <x v="0"/>
    <x v="12"/>
    <x v="206"/>
  </r>
  <r>
    <n v="464"/>
    <x v="463"/>
    <x v="6"/>
    <x v="1"/>
    <x v="2"/>
    <d v="2022-11-08T00:00:00"/>
    <d v="2023-09-12T00:00:00"/>
    <n v="66"/>
    <n v="1.2"/>
    <n v="1"/>
    <x v="1"/>
    <x v="25"/>
    <x v="81"/>
  </r>
  <r>
    <n v="465"/>
    <x v="464"/>
    <x v="22"/>
    <x v="1"/>
    <x v="2"/>
    <d v="2022-01-21T00:00:00"/>
    <d v="2022-06-23T00:00:00"/>
    <n v="43"/>
    <n v="1.6"/>
    <n v="0"/>
    <x v="0"/>
    <x v="22"/>
    <x v="381"/>
  </r>
  <r>
    <n v="466"/>
    <x v="465"/>
    <x v="29"/>
    <x v="1"/>
    <x v="0"/>
    <d v="2024-03-08T00:00:00"/>
    <d v="2024-05-10T00:00:00"/>
    <n v="399"/>
    <n v="4.5999999999999996"/>
    <n v="1"/>
    <x v="1"/>
    <x v="9"/>
    <x v="348"/>
  </r>
  <r>
    <n v="467"/>
    <x v="466"/>
    <x v="30"/>
    <x v="0"/>
    <x v="2"/>
    <d v="2022-08-27T00:00:00"/>
    <d v="2023-01-13T00:00:00"/>
    <n v="291"/>
    <n v="2.2999999999999998"/>
    <n v="0"/>
    <x v="0"/>
    <x v="26"/>
    <x v="231"/>
  </r>
  <r>
    <n v="468"/>
    <x v="467"/>
    <x v="16"/>
    <x v="1"/>
    <x v="1"/>
    <d v="2023-09-16T00:00:00"/>
    <d v="2024-07-09T00:00:00"/>
    <n v="459"/>
    <n v="2.2999999999999998"/>
    <n v="1"/>
    <x v="1"/>
    <x v="12"/>
    <x v="382"/>
  </r>
  <r>
    <n v="469"/>
    <x v="468"/>
    <x v="0"/>
    <x v="1"/>
    <x v="0"/>
    <d v="2022-09-08T00:00:00"/>
    <d v="2023-07-06T00:00:00"/>
    <n v="335"/>
    <n v="2.6"/>
    <n v="0"/>
    <x v="0"/>
    <x v="14"/>
    <x v="383"/>
  </r>
  <r>
    <n v="470"/>
    <x v="469"/>
    <x v="10"/>
    <x v="0"/>
    <x v="2"/>
    <d v="2023-12-28T00:00:00"/>
    <d v="2024-06-22T00:00:00"/>
    <n v="177"/>
    <n v="3.7"/>
    <n v="1"/>
    <x v="1"/>
    <x v="21"/>
    <x v="237"/>
  </r>
  <r>
    <n v="471"/>
    <x v="470"/>
    <x v="44"/>
    <x v="0"/>
    <x v="2"/>
    <d v="2023-07-20T00:00:00"/>
    <d v="2023-09-22T00:00:00"/>
    <n v="365"/>
    <n v="3.3"/>
    <n v="1"/>
    <x v="1"/>
    <x v="2"/>
    <x v="384"/>
  </r>
  <r>
    <n v="472"/>
    <x v="471"/>
    <x v="33"/>
    <x v="1"/>
    <x v="0"/>
    <d v="2022-04-18T00:00:00"/>
    <d v="2022-10-20T00:00:00"/>
    <n v="442"/>
    <n v="4.8"/>
    <n v="1"/>
    <x v="1"/>
    <x v="1"/>
    <x v="385"/>
  </r>
  <r>
    <n v="473"/>
    <x v="472"/>
    <x v="45"/>
    <x v="1"/>
    <x v="2"/>
    <d v="2023-05-14T00:00:00"/>
    <d v="2024-04-08T00:00:00"/>
    <n v="280"/>
    <n v="1.2"/>
    <n v="1"/>
    <x v="1"/>
    <x v="16"/>
    <x v="332"/>
  </r>
  <r>
    <n v="474"/>
    <x v="473"/>
    <x v="5"/>
    <x v="0"/>
    <x v="2"/>
    <d v="2022-06-17T00:00:00"/>
    <d v="2022-10-05T00:00:00"/>
    <n v="316"/>
    <n v="3"/>
    <n v="0"/>
    <x v="0"/>
    <x v="8"/>
    <x v="386"/>
  </r>
  <r>
    <n v="475"/>
    <x v="474"/>
    <x v="23"/>
    <x v="0"/>
    <x v="2"/>
    <d v="2022-10-12T00:00:00"/>
    <d v="2023-06-08T00:00:00"/>
    <n v="467"/>
    <n v="2.1"/>
    <n v="0"/>
    <x v="0"/>
    <x v="18"/>
    <x v="350"/>
  </r>
  <r>
    <n v="476"/>
    <x v="475"/>
    <x v="34"/>
    <x v="0"/>
    <x v="0"/>
    <d v="2022-02-08T00:00:00"/>
    <d v="2022-06-26T00:00:00"/>
    <n v="181"/>
    <n v="1.9"/>
    <n v="1"/>
    <x v="1"/>
    <x v="15"/>
    <x v="319"/>
  </r>
  <r>
    <n v="477"/>
    <x v="476"/>
    <x v="35"/>
    <x v="1"/>
    <x v="2"/>
    <d v="2023-03-04T00:00:00"/>
    <d v="2023-04-16T00:00:00"/>
    <n v="33"/>
    <n v="4.9000000000000004"/>
    <n v="1"/>
    <x v="1"/>
    <x v="24"/>
    <x v="338"/>
  </r>
  <r>
    <n v="478"/>
    <x v="477"/>
    <x v="15"/>
    <x v="0"/>
    <x v="2"/>
    <d v="2023-08-12T00:00:00"/>
    <d v="2024-06-15T00:00:00"/>
    <n v="172"/>
    <n v="3"/>
    <n v="1"/>
    <x v="1"/>
    <x v="11"/>
    <x v="264"/>
  </r>
  <r>
    <n v="479"/>
    <x v="478"/>
    <x v="47"/>
    <x v="1"/>
    <x v="0"/>
    <d v="2023-02-20T00:00:00"/>
    <d v="2023-12-23T00:00:00"/>
    <n v="382"/>
    <n v="3.6"/>
    <n v="0"/>
    <x v="0"/>
    <x v="20"/>
    <x v="139"/>
  </r>
  <r>
    <n v="480"/>
    <x v="479"/>
    <x v="23"/>
    <x v="1"/>
    <x v="0"/>
    <d v="2024-04-13T00:00:00"/>
    <d v="2024-04-13T00:00:00"/>
    <n v="430"/>
    <n v="3.1"/>
    <n v="1"/>
    <x v="1"/>
    <x v="13"/>
    <x v="246"/>
  </r>
  <r>
    <n v="481"/>
    <x v="480"/>
    <x v="12"/>
    <x v="1"/>
    <x v="2"/>
    <d v="2022-06-27T00:00:00"/>
    <d v="2022-10-05T00:00:00"/>
    <n v="424"/>
    <n v="2.7"/>
    <n v="1"/>
    <x v="1"/>
    <x v="8"/>
    <x v="386"/>
  </r>
  <r>
    <n v="482"/>
    <x v="481"/>
    <x v="4"/>
    <x v="1"/>
    <x v="0"/>
    <d v="2023-11-23T00:00:00"/>
    <d v="2024-10-23T00:00:00"/>
    <n v="267"/>
    <n v="2.9"/>
    <n v="0"/>
    <x v="0"/>
    <x v="19"/>
    <x v="387"/>
  </r>
  <r>
    <n v="483"/>
    <x v="482"/>
    <x v="37"/>
    <x v="1"/>
    <x v="0"/>
    <d v="2023-09-02T00:00:00"/>
    <d v="2024-05-05T00:00:00"/>
    <n v="246"/>
    <n v="4.5"/>
    <n v="0"/>
    <x v="0"/>
    <x v="12"/>
    <x v="388"/>
  </r>
  <r>
    <n v="484"/>
    <x v="483"/>
    <x v="34"/>
    <x v="0"/>
    <x v="1"/>
    <d v="2024-06-01T00:00:00"/>
    <d v="2025-01-20T00:00:00"/>
    <n v="408"/>
    <n v="1.3"/>
    <n v="1"/>
    <x v="1"/>
    <x v="29"/>
    <x v="389"/>
  </r>
  <r>
    <n v="485"/>
    <x v="484"/>
    <x v="4"/>
    <x v="0"/>
    <x v="1"/>
    <d v="2022-01-05T00:00:00"/>
    <d v="2022-12-18T00:00:00"/>
    <n v="44"/>
    <n v="2.8"/>
    <n v="0"/>
    <x v="0"/>
    <x v="22"/>
    <x v="390"/>
  </r>
  <r>
    <n v="486"/>
    <x v="485"/>
    <x v="5"/>
    <x v="1"/>
    <x v="1"/>
    <d v="2023-08-12T00:00:00"/>
    <d v="2024-02-15T00:00:00"/>
    <n v="13"/>
    <n v="4"/>
    <n v="1"/>
    <x v="1"/>
    <x v="11"/>
    <x v="357"/>
  </r>
  <r>
    <n v="487"/>
    <x v="486"/>
    <x v="2"/>
    <x v="0"/>
    <x v="0"/>
    <d v="2023-05-02T00:00:00"/>
    <d v="2024-01-31T00:00:00"/>
    <n v="30"/>
    <n v="3.1"/>
    <n v="0"/>
    <x v="0"/>
    <x v="16"/>
    <x v="391"/>
  </r>
  <r>
    <n v="488"/>
    <x v="487"/>
    <x v="17"/>
    <x v="1"/>
    <x v="0"/>
    <d v="2022-04-28T00:00:00"/>
    <d v="2022-08-15T00:00:00"/>
    <n v="209"/>
    <n v="2.1"/>
    <n v="0"/>
    <x v="0"/>
    <x v="1"/>
    <x v="392"/>
  </r>
  <r>
    <n v="489"/>
    <x v="488"/>
    <x v="39"/>
    <x v="0"/>
    <x v="2"/>
    <d v="2022-12-01T00:00:00"/>
    <d v="2023-01-10T00:00:00"/>
    <n v="334"/>
    <n v="2.1"/>
    <n v="1"/>
    <x v="1"/>
    <x v="23"/>
    <x v="393"/>
  </r>
  <r>
    <n v="490"/>
    <x v="489"/>
    <x v="40"/>
    <x v="0"/>
    <x v="1"/>
    <d v="2023-09-21T00:00:00"/>
    <d v="2024-04-12T00:00:00"/>
    <n v="77"/>
    <n v="3.4"/>
    <n v="1"/>
    <x v="1"/>
    <x v="12"/>
    <x v="134"/>
  </r>
  <r>
    <n v="491"/>
    <x v="490"/>
    <x v="4"/>
    <x v="0"/>
    <x v="2"/>
    <d v="2023-11-25T00:00:00"/>
    <d v="2023-12-31T00:00:00"/>
    <n v="164"/>
    <n v="1.9"/>
    <n v="1"/>
    <x v="1"/>
    <x v="19"/>
    <x v="275"/>
  </r>
  <r>
    <n v="492"/>
    <x v="491"/>
    <x v="34"/>
    <x v="0"/>
    <x v="0"/>
    <d v="2022-03-07T00:00:00"/>
    <d v="2022-03-31T00:00:00"/>
    <n v="142"/>
    <n v="1.2"/>
    <n v="1"/>
    <x v="1"/>
    <x v="5"/>
    <x v="394"/>
  </r>
  <r>
    <n v="493"/>
    <x v="492"/>
    <x v="1"/>
    <x v="0"/>
    <x v="2"/>
    <d v="2024-02-03T00:00:00"/>
    <d v="2024-09-11T00:00:00"/>
    <n v="241"/>
    <n v="1.1000000000000001"/>
    <n v="0"/>
    <x v="0"/>
    <x v="4"/>
    <x v="100"/>
  </r>
  <r>
    <n v="494"/>
    <x v="493"/>
    <x v="3"/>
    <x v="1"/>
    <x v="0"/>
    <d v="2022-11-20T00:00:00"/>
    <d v="2022-12-11T00:00:00"/>
    <n v="171"/>
    <n v="1.6"/>
    <n v="1"/>
    <x v="1"/>
    <x v="25"/>
    <x v="395"/>
  </r>
  <r>
    <n v="495"/>
    <x v="494"/>
    <x v="29"/>
    <x v="0"/>
    <x v="1"/>
    <d v="2023-02-25T00:00:00"/>
    <d v="2023-07-11T00:00:00"/>
    <n v="175"/>
    <n v="2.2000000000000002"/>
    <n v="1"/>
    <x v="1"/>
    <x v="20"/>
    <x v="396"/>
  </r>
  <r>
    <n v="496"/>
    <x v="495"/>
    <x v="17"/>
    <x v="0"/>
    <x v="1"/>
    <d v="2023-07-11T00:00:00"/>
    <d v="2024-06-18T00:00:00"/>
    <n v="177"/>
    <n v="4.2"/>
    <n v="0"/>
    <x v="0"/>
    <x v="2"/>
    <x v="35"/>
  </r>
  <r>
    <n v="497"/>
    <x v="496"/>
    <x v="24"/>
    <x v="1"/>
    <x v="2"/>
    <d v="2023-01-15T00:00:00"/>
    <d v="2023-07-08T00:00:00"/>
    <n v="333"/>
    <n v="4.8"/>
    <n v="0"/>
    <x v="0"/>
    <x v="10"/>
    <x v="397"/>
  </r>
  <r>
    <n v="498"/>
    <x v="497"/>
    <x v="40"/>
    <x v="1"/>
    <x v="2"/>
    <d v="2022-10-25T00:00:00"/>
    <d v="2023-07-11T00:00:00"/>
    <n v="347"/>
    <n v="1.3"/>
    <n v="1"/>
    <x v="1"/>
    <x v="18"/>
    <x v="396"/>
  </r>
  <r>
    <n v="499"/>
    <x v="498"/>
    <x v="8"/>
    <x v="1"/>
    <x v="1"/>
    <d v="2022-05-09T00:00:00"/>
    <d v="2023-01-05T00:00:00"/>
    <n v="476"/>
    <n v="2.9"/>
    <n v="0"/>
    <x v="0"/>
    <x v="7"/>
    <x v="398"/>
  </r>
  <r>
    <n v="500"/>
    <x v="499"/>
    <x v="8"/>
    <x v="1"/>
    <x v="0"/>
    <d v="2023-01-16T00:00:00"/>
    <d v="2023-04-17T00:00:00"/>
    <n v="41"/>
    <n v="1.8"/>
    <n v="1"/>
    <x v="1"/>
    <x v="10"/>
    <x v="163"/>
  </r>
  <r>
    <n v="501"/>
    <x v="500"/>
    <x v="43"/>
    <x v="1"/>
    <x v="1"/>
    <d v="2023-10-07T00:00:00"/>
    <d v="2024-05-01T00:00:00"/>
    <n v="473"/>
    <n v="3.4"/>
    <n v="0"/>
    <x v="0"/>
    <x v="27"/>
    <x v="399"/>
  </r>
  <r>
    <n v="502"/>
    <x v="501"/>
    <x v="39"/>
    <x v="0"/>
    <x v="2"/>
    <d v="2022-10-30T00:00:00"/>
    <d v="2023-09-25T00:00:00"/>
    <n v="96"/>
    <n v="5"/>
    <n v="1"/>
    <x v="1"/>
    <x v="18"/>
    <x v="400"/>
  </r>
  <r>
    <n v="503"/>
    <x v="502"/>
    <x v="19"/>
    <x v="0"/>
    <x v="0"/>
    <d v="2023-08-21T00:00:00"/>
    <d v="2023-11-29T00:00:00"/>
    <n v="119"/>
    <n v="2.8"/>
    <n v="1"/>
    <x v="1"/>
    <x v="11"/>
    <x v="401"/>
  </r>
  <r>
    <n v="504"/>
    <x v="503"/>
    <x v="1"/>
    <x v="1"/>
    <x v="1"/>
    <d v="2023-10-30T00:00:00"/>
    <d v="2023-11-29T00:00:00"/>
    <n v="152"/>
    <n v="1.5"/>
    <n v="1"/>
    <x v="1"/>
    <x v="27"/>
    <x v="401"/>
  </r>
  <r>
    <n v="505"/>
    <x v="504"/>
    <x v="2"/>
    <x v="0"/>
    <x v="0"/>
    <d v="2022-10-30T00:00:00"/>
    <d v="2023-09-02T00:00:00"/>
    <n v="166"/>
    <n v="1.9"/>
    <n v="1"/>
    <x v="1"/>
    <x v="18"/>
    <x v="402"/>
  </r>
  <r>
    <n v="506"/>
    <x v="505"/>
    <x v="36"/>
    <x v="1"/>
    <x v="1"/>
    <d v="2022-12-28T00:00:00"/>
    <d v="2023-02-09T00:00:00"/>
    <n v="361"/>
    <n v="3"/>
    <n v="1"/>
    <x v="1"/>
    <x v="23"/>
    <x v="403"/>
  </r>
  <r>
    <n v="507"/>
    <x v="506"/>
    <x v="7"/>
    <x v="0"/>
    <x v="2"/>
    <d v="2024-01-20T00:00:00"/>
    <d v="2024-03-09T00:00:00"/>
    <n v="106"/>
    <n v="4.2"/>
    <n v="0"/>
    <x v="0"/>
    <x v="6"/>
    <x v="27"/>
  </r>
  <r>
    <n v="508"/>
    <x v="507"/>
    <x v="42"/>
    <x v="0"/>
    <x v="0"/>
    <d v="2023-12-24T00:00:00"/>
    <d v="2024-09-09T00:00:00"/>
    <n v="477"/>
    <n v="2.2999999999999998"/>
    <n v="0"/>
    <x v="0"/>
    <x v="21"/>
    <x v="116"/>
  </r>
  <r>
    <n v="509"/>
    <x v="508"/>
    <x v="31"/>
    <x v="0"/>
    <x v="2"/>
    <d v="2023-12-06T00:00:00"/>
    <d v="2024-02-23T00:00:00"/>
    <n v="358"/>
    <n v="4.8"/>
    <n v="0"/>
    <x v="0"/>
    <x v="21"/>
    <x v="404"/>
  </r>
  <r>
    <n v="510"/>
    <x v="509"/>
    <x v="30"/>
    <x v="1"/>
    <x v="2"/>
    <d v="2022-03-22T00:00:00"/>
    <d v="2022-05-29T00:00:00"/>
    <n v="382"/>
    <n v="1.8"/>
    <n v="1"/>
    <x v="1"/>
    <x v="5"/>
    <x v="405"/>
  </r>
  <r>
    <n v="511"/>
    <x v="510"/>
    <x v="14"/>
    <x v="0"/>
    <x v="2"/>
    <d v="2024-03-10T00:00:00"/>
    <d v="2025-02-05T00:00:00"/>
    <n v="40"/>
    <n v="1.2"/>
    <n v="1"/>
    <x v="1"/>
    <x v="9"/>
    <x v="406"/>
  </r>
  <r>
    <n v="512"/>
    <x v="511"/>
    <x v="5"/>
    <x v="0"/>
    <x v="2"/>
    <d v="2023-09-23T00:00:00"/>
    <d v="2024-03-28T00:00:00"/>
    <n v="304"/>
    <n v="1.3"/>
    <n v="1"/>
    <x v="1"/>
    <x v="12"/>
    <x v="407"/>
  </r>
  <r>
    <n v="513"/>
    <x v="512"/>
    <x v="18"/>
    <x v="0"/>
    <x v="0"/>
    <d v="2022-04-30T00:00:00"/>
    <d v="2022-10-25T00:00:00"/>
    <n v="138"/>
    <n v="4.0999999999999996"/>
    <n v="0"/>
    <x v="0"/>
    <x v="1"/>
    <x v="408"/>
  </r>
  <r>
    <n v="514"/>
    <x v="513"/>
    <x v="29"/>
    <x v="1"/>
    <x v="2"/>
    <d v="2024-01-14T00:00:00"/>
    <d v="2024-12-04T00:00:00"/>
    <n v="37"/>
    <n v="1.6"/>
    <n v="1"/>
    <x v="1"/>
    <x v="6"/>
    <x v="250"/>
  </r>
  <r>
    <n v="515"/>
    <x v="514"/>
    <x v="34"/>
    <x v="1"/>
    <x v="1"/>
    <d v="2024-01-08T00:00:00"/>
    <d v="2024-08-15T00:00:00"/>
    <n v="498"/>
    <n v="3.7"/>
    <n v="1"/>
    <x v="1"/>
    <x v="6"/>
    <x v="409"/>
  </r>
  <r>
    <n v="516"/>
    <x v="515"/>
    <x v="20"/>
    <x v="0"/>
    <x v="0"/>
    <d v="2023-01-14T00:00:00"/>
    <d v="2023-11-17T00:00:00"/>
    <n v="347"/>
    <n v="1.6"/>
    <n v="0"/>
    <x v="0"/>
    <x v="10"/>
    <x v="410"/>
  </r>
  <r>
    <n v="517"/>
    <x v="516"/>
    <x v="20"/>
    <x v="1"/>
    <x v="0"/>
    <d v="2022-05-24T00:00:00"/>
    <d v="2022-12-20T00:00:00"/>
    <n v="127"/>
    <n v="4.9000000000000004"/>
    <n v="1"/>
    <x v="1"/>
    <x v="7"/>
    <x v="411"/>
  </r>
  <r>
    <n v="518"/>
    <x v="517"/>
    <x v="42"/>
    <x v="0"/>
    <x v="0"/>
    <d v="2023-08-18T00:00:00"/>
    <d v="2024-01-04T00:00:00"/>
    <n v="352"/>
    <n v="1.4"/>
    <n v="1"/>
    <x v="1"/>
    <x v="11"/>
    <x v="412"/>
  </r>
  <r>
    <n v="519"/>
    <x v="518"/>
    <x v="13"/>
    <x v="1"/>
    <x v="0"/>
    <d v="2023-01-28T00:00:00"/>
    <d v="2023-04-29T00:00:00"/>
    <n v="280"/>
    <n v="4.9000000000000004"/>
    <n v="1"/>
    <x v="1"/>
    <x v="10"/>
    <x v="300"/>
  </r>
  <r>
    <n v="520"/>
    <x v="519"/>
    <x v="38"/>
    <x v="1"/>
    <x v="2"/>
    <d v="2023-04-08T00:00:00"/>
    <d v="2024-02-12T00:00:00"/>
    <n v="472"/>
    <n v="1"/>
    <n v="1"/>
    <x v="1"/>
    <x v="3"/>
    <x v="413"/>
  </r>
  <r>
    <n v="521"/>
    <x v="520"/>
    <x v="25"/>
    <x v="0"/>
    <x v="0"/>
    <d v="2023-10-21T00:00:00"/>
    <d v="2023-11-15T00:00:00"/>
    <n v="396"/>
    <n v="4.3"/>
    <n v="0"/>
    <x v="0"/>
    <x v="27"/>
    <x v="414"/>
  </r>
  <r>
    <n v="522"/>
    <x v="521"/>
    <x v="45"/>
    <x v="0"/>
    <x v="0"/>
    <d v="2022-01-31T00:00:00"/>
    <d v="2022-11-12T00:00:00"/>
    <n v="130"/>
    <n v="1.5"/>
    <n v="1"/>
    <x v="1"/>
    <x v="22"/>
    <x v="415"/>
  </r>
  <r>
    <n v="523"/>
    <x v="522"/>
    <x v="43"/>
    <x v="0"/>
    <x v="1"/>
    <d v="2023-07-20T00:00:00"/>
    <d v="2024-01-07T00:00:00"/>
    <n v="359"/>
    <n v="4.5"/>
    <n v="0"/>
    <x v="0"/>
    <x v="2"/>
    <x v="72"/>
  </r>
  <r>
    <n v="524"/>
    <x v="523"/>
    <x v="7"/>
    <x v="1"/>
    <x v="0"/>
    <d v="2022-12-23T00:00:00"/>
    <d v="2023-02-17T00:00:00"/>
    <n v="333"/>
    <n v="4.2"/>
    <n v="1"/>
    <x v="1"/>
    <x v="23"/>
    <x v="416"/>
  </r>
  <r>
    <n v="525"/>
    <x v="524"/>
    <x v="42"/>
    <x v="0"/>
    <x v="0"/>
    <d v="2022-11-08T00:00:00"/>
    <d v="2023-07-27T00:00:00"/>
    <n v="258"/>
    <n v="3.4"/>
    <n v="0"/>
    <x v="0"/>
    <x v="25"/>
    <x v="304"/>
  </r>
  <r>
    <n v="526"/>
    <x v="525"/>
    <x v="44"/>
    <x v="0"/>
    <x v="1"/>
    <d v="2023-04-22T00:00:00"/>
    <d v="2024-01-08T00:00:00"/>
    <n v="68"/>
    <n v="3.4"/>
    <n v="1"/>
    <x v="1"/>
    <x v="3"/>
    <x v="320"/>
  </r>
  <r>
    <n v="527"/>
    <x v="526"/>
    <x v="32"/>
    <x v="0"/>
    <x v="0"/>
    <d v="2024-05-22T00:00:00"/>
    <d v="2025-03-29T00:00:00"/>
    <n v="159"/>
    <n v="2.5"/>
    <n v="0"/>
    <x v="0"/>
    <x v="0"/>
    <x v="417"/>
  </r>
  <r>
    <n v="528"/>
    <x v="527"/>
    <x v="46"/>
    <x v="1"/>
    <x v="2"/>
    <d v="2023-09-26T00:00:00"/>
    <d v="2024-03-27T00:00:00"/>
    <n v="134"/>
    <n v="2"/>
    <n v="0"/>
    <x v="0"/>
    <x v="12"/>
    <x v="418"/>
  </r>
  <r>
    <n v="529"/>
    <x v="528"/>
    <x v="22"/>
    <x v="0"/>
    <x v="1"/>
    <d v="2022-01-20T00:00:00"/>
    <d v="2022-05-20T00:00:00"/>
    <n v="48"/>
    <n v="4.7"/>
    <n v="1"/>
    <x v="1"/>
    <x v="22"/>
    <x v="419"/>
  </r>
  <r>
    <n v="530"/>
    <x v="529"/>
    <x v="25"/>
    <x v="0"/>
    <x v="0"/>
    <d v="2022-11-24T00:00:00"/>
    <d v="2023-10-19T00:00:00"/>
    <n v="7"/>
    <n v="1.3"/>
    <n v="1"/>
    <x v="1"/>
    <x v="25"/>
    <x v="420"/>
  </r>
  <r>
    <n v="531"/>
    <x v="530"/>
    <x v="43"/>
    <x v="1"/>
    <x v="2"/>
    <d v="2023-10-15T00:00:00"/>
    <d v="2023-10-17T00:00:00"/>
    <n v="495"/>
    <n v="4.2"/>
    <n v="1"/>
    <x v="1"/>
    <x v="27"/>
    <x v="368"/>
  </r>
  <r>
    <n v="532"/>
    <x v="531"/>
    <x v="29"/>
    <x v="1"/>
    <x v="0"/>
    <d v="2023-03-23T00:00:00"/>
    <d v="2024-01-02T00:00:00"/>
    <n v="82"/>
    <n v="3.9"/>
    <n v="1"/>
    <x v="1"/>
    <x v="24"/>
    <x v="421"/>
  </r>
  <r>
    <n v="533"/>
    <x v="532"/>
    <x v="4"/>
    <x v="1"/>
    <x v="2"/>
    <d v="2022-05-27T00:00:00"/>
    <d v="2022-09-03T00:00:00"/>
    <n v="215"/>
    <n v="3.7"/>
    <n v="0"/>
    <x v="0"/>
    <x v="7"/>
    <x v="422"/>
  </r>
  <r>
    <n v="534"/>
    <x v="533"/>
    <x v="42"/>
    <x v="1"/>
    <x v="2"/>
    <d v="2022-10-19T00:00:00"/>
    <d v="2023-07-17T00:00:00"/>
    <n v="146"/>
    <n v="1.8"/>
    <n v="0"/>
    <x v="0"/>
    <x v="18"/>
    <x v="290"/>
  </r>
  <r>
    <n v="535"/>
    <x v="534"/>
    <x v="32"/>
    <x v="0"/>
    <x v="0"/>
    <d v="2023-03-10T00:00:00"/>
    <d v="2023-12-27T00:00:00"/>
    <n v="328"/>
    <n v="2.6"/>
    <n v="0"/>
    <x v="0"/>
    <x v="24"/>
    <x v="176"/>
  </r>
  <r>
    <n v="536"/>
    <x v="535"/>
    <x v="28"/>
    <x v="0"/>
    <x v="0"/>
    <d v="2023-05-17T00:00:00"/>
    <d v="2023-10-21T00:00:00"/>
    <n v="65"/>
    <n v="3"/>
    <n v="0"/>
    <x v="0"/>
    <x v="16"/>
    <x v="423"/>
  </r>
  <r>
    <n v="537"/>
    <x v="536"/>
    <x v="31"/>
    <x v="1"/>
    <x v="0"/>
    <d v="2024-02-02T00:00:00"/>
    <d v="2024-03-16T00:00:00"/>
    <n v="78"/>
    <n v="3.2"/>
    <n v="0"/>
    <x v="0"/>
    <x v="4"/>
    <x v="347"/>
  </r>
  <r>
    <n v="538"/>
    <x v="537"/>
    <x v="14"/>
    <x v="1"/>
    <x v="0"/>
    <d v="2022-07-17T00:00:00"/>
    <d v="2022-11-05T00:00:00"/>
    <n v="319"/>
    <n v="1.9"/>
    <n v="1"/>
    <x v="1"/>
    <x v="28"/>
    <x v="424"/>
  </r>
  <r>
    <n v="539"/>
    <x v="538"/>
    <x v="30"/>
    <x v="0"/>
    <x v="1"/>
    <d v="2023-12-13T00:00:00"/>
    <d v="2024-12-08T00:00:00"/>
    <n v="304"/>
    <n v="2.8"/>
    <n v="1"/>
    <x v="1"/>
    <x v="21"/>
    <x v="425"/>
  </r>
  <r>
    <n v="540"/>
    <x v="539"/>
    <x v="4"/>
    <x v="1"/>
    <x v="1"/>
    <d v="2022-10-06T00:00:00"/>
    <d v="2022-10-27T00:00:00"/>
    <n v="200"/>
    <n v="2.4"/>
    <n v="0"/>
    <x v="0"/>
    <x v="18"/>
    <x v="426"/>
  </r>
  <r>
    <n v="541"/>
    <x v="540"/>
    <x v="40"/>
    <x v="1"/>
    <x v="0"/>
    <d v="2023-06-21T00:00:00"/>
    <d v="2024-04-21T00:00:00"/>
    <n v="75"/>
    <n v="4.7"/>
    <n v="1"/>
    <x v="1"/>
    <x v="17"/>
    <x v="427"/>
  </r>
  <r>
    <n v="542"/>
    <x v="541"/>
    <x v="20"/>
    <x v="0"/>
    <x v="2"/>
    <d v="2023-10-18T00:00:00"/>
    <d v="2024-09-11T00:00:00"/>
    <n v="466"/>
    <n v="3.3"/>
    <n v="0"/>
    <x v="0"/>
    <x v="27"/>
    <x v="100"/>
  </r>
  <r>
    <n v="543"/>
    <x v="542"/>
    <x v="46"/>
    <x v="1"/>
    <x v="0"/>
    <d v="2023-09-01T00:00:00"/>
    <d v="2023-09-30T00:00:00"/>
    <n v="46"/>
    <n v="3.9"/>
    <n v="0"/>
    <x v="0"/>
    <x v="12"/>
    <x v="330"/>
  </r>
  <r>
    <n v="544"/>
    <x v="543"/>
    <x v="8"/>
    <x v="0"/>
    <x v="1"/>
    <d v="2024-06-16T00:00:00"/>
    <d v="2025-04-02T00:00:00"/>
    <n v="219"/>
    <n v="2.8"/>
    <n v="0"/>
    <x v="0"/>
    <x v="29"/>
    <x v="428"/>
  </r>
  <r>
    <n v="545"/>
    <x v="544"/>
    <x v="27"/>
    <x v="1"/>
    <x v="1"/>
    <d v="2022-01-16T00:00:00"/>
    <d v="2022-12-28T00:00:00"/>
    <n v="129"/>
    <n v="2.8"/>
    <n v="0"/>
    <x v="0"/>
    <x v="22"/>
    <x v="334"/>
  </r>
  <r>
    <n v="546"/>
    <x v="545"/>
    <x v="26"/>
    <x v="0"/>
    <x v="1"/>
    <d v="2023-06-22T00:00:00"/>
    <d v="2024-03-31T00:00:00"/>
    <n v="22"/>
    <n v="3"/>
    <n v="0"/>
    <x v="0"/>
    <x v="17"/>
    <x v="301"/>
  </r>
  <r>
    <n v="547"/>
    <x v="546"/>
    <x v="43"/>
    <x v="0"/>
    <x v="0"/>
    <d v="2022-05-06T00:00:00"/>
    <d v="2022-12-25T00:00:00"/>
    <n v="16"/>
    <n v="3.2"/>
    <n v="1"/>
    <x v="1"/>
    <x v="7"/>
    <x v="248"/>
  </r>
  <r>
    <n v="548"/>
    <x v="547"/>
    <x v="11"/>
    <x v="0"/>
    <x v="1"/>
    <d v="2022-07-05T00:00:00"/>
    <d v="2023-02-27T00:00:00"/>
    <n v="140"/>
    <n v="1.9"/>
    <n v="1"/>
    <x v="1"/>
    <x v="28"/>
    <x v="49"/>
  </r>
  <r>
    <n v="549"/>
    <x v="548"/>
    <x v="28"/>
    <x v="0"/>
    <x v="2"/>
    <d v="2023-04-28T00:00:00"/>
    <d v="2023-11-29T00:00:00"/>
    <n v="235"/>
    <n v="3.9"/>
    <n v="1"/>
    <x v="1"/>
    <x v="3"/>
    <x v="401"/>
  </r>
  <r>
    <n v="550"/>
    <x v="549"/>
    <x v="21"/>
    <x v="1"/>
    <x v="1"/>
    <d v="2022-12-15T00:00:00"/>
    <d v="2023-01-30T00:00:00"/>
    <n v="216"/>
    <n v="5"/>
    <n v="0"/>
    <x v="0"/>
    <x v="23"/>
    <x v="429"/>
  </r>
  <r>
    <n v="551"/>
    <x v="550"/>
    <x v="27"/>
    <x v="1"/>
    <x v="1"/>
    <d v="2023-07-30T00:00:00"/>
    <d v="2023-10-14T00:00:00"/>
    <n v="242"/>
    <n v="1.3"/>
    <n v="0"/>
    <x v="0"/>
    <x v="2"/>
    <x v="430"/>
  </r>
  <r>
    <n v="552"/>
    <x v="551"/>
    <x v="43"/>
    <x v="0"/>
    <x v="1"/>
    <d v="2024-03-22T00:00:00"/>
    <d v="2024-08-04T00:00:00"/>
    <n v="1"/>
    <n v="3.7"/>
    <n v="0"/>
    <x v="0"/>
    <x v="9"/>
    <x v="431"/>
  </r>
  <r>
    <n v="553"/>
    <x v="552"/>
    <x v="37"/>
    <x v="0"/>
    <x v="0"/>
    <d v="2022-10-20T00:00:00"/>
    <d v="2023-08-22T00:00:00"/>
    <n v="270"/>
    <n v="1.5"/>
    <n v="1"/>
    <x v="1"/>
    <x v="18"/>
    <x v="432"/>
  </r>
  <r>
    <n v="554"/>
    <x v="553"/>
    <x v="9"/>
    <x v="1"/>
    <x v="1"/>
    <d v="2023-11-13T00:00:00"/>
    <d v="2024-01-06T00:00:00"/>
    <n v="189"/>
    <n v="1.1000000000000001"/>
    <n v="1"/>
    <x v="1"/>
    <x v="19"/>
    <x v="433"/>
  </r>
  <r>
    <n v="555"/>
    <x v="554"/>
    <x v="26"/>
    <x v="1"/>
    <x v="2"/>
    <d v="2022-10-31T00:00:00"/>
    <d v="2023-06-19T00:00:00"/>
    <n v="23"/>
    <n v="4.9000000000000004"/>
    <n v="1"/>
    <x v="1"/>
    <x v="18"/>
    <x v="434"/>
  </r>
  <r>
    <n v="556"/>
    <x v="555"/>
    <x v="11"/>
    <x v="0"/>
    <x v="1"/>
    <d v="2024-01-17T00:00:00"/>
    <d v="2024-02-03T00:00:00"/>
    <n v="328"/>
    <n v="3.6"/>
    <n v="1"/>
    <x v="1"/>
    <x v="6"/>
    <x v="435"/>
  </r>
  <r>
    <n v="557"/>
    <x v="556"/>
    <x v="5"/>
    <x v="0"/>
    <x v="2"/>
    <d v="2022-09-09T00:00:00"/>
    <d v="2022-09-24T00:00:00"/>
    <n v="63"/>
    <n v="4.5999999999999996"/>
    <n v="1"/>
    <x v="1"/>
    <x v="14"/>
    <x v="366"/>
  </r>
  <r>
    <n v="558"/>
    <x v="557"/>
    <x v="7"/>
    <x v="1"/>
    <x v="0"/>
    <d v="2023-01-08T00:00:00"/>
    <d v="2023-01-17T00:00:00"/>
    <n v="344"/>
    <n v="1.4"/>
    <n v="0"/>
    <x v="0"/>
    <x v="10"/>
    <x v="436"/>
  </r>
  <r>
    <n v="559"/>
    <x v="558"/>
    <x v="8"/>
    <x v="0"/>
    <x v="1"/>
    <d v="2024-01-19T00:00:00"/>
    <d v="2024-08-06T00:00:00"/>
    <n v="11"/>
    <n v="4.5"/>
    <n v="0"/>
    <x v="0"/>
    <x v="6"/>
    <x v="437"/>
  </r>
  <r>
    <n v="560"/>
    <x v="559"/>
    <x v="23"/>
    <x v="1"/>
    <x v="1"/>
    <d v="2023-10-26T00:00:00"/>
    <d v="2024-01-10T00:00:00"/>
    <n v="21"/>
    <n v="1.1000000000000001"/>
    <n v="1"/>
    <x v="1"/>
    <x v="27"/>
    <x v="438"/>
  </r>
  <r>
    <n v="561"/>
    <x v="560"/>
    <x v="32"/>
    <x v="1"/>
    <x v="0"/>
    <d v="2024-04-03T00:00:00"/>
    <d v="2024-04-05T00:00:00"/>
    <n v="95"/>
    <n v="3.8"/>
    <n v="0"/>
    <x v="0"/>
    <x v="13"/>
    <x v="439"/>
  </r>
  <r>
    <n v="562"/>
    <x v="561"/>
    <x v="40"/>
    <x v="0"/>
    <x v="1"/>
    <d v="2022-05-19T00:00:00"/>
    <d v="2022-06-07T00:00:00"/>
    <n v="36"/>
    <n v="1.4"/>
    <n v="0"/>
    <x v="0"/>
    <x v="7"/>
    <x v="440"/>
  </r>
  <r>
    <n v="563"/>
    <x v="562"/>
    <x v="45"/>
    <x v="1"/>
    <x v="2"/>
    <d v="2022-02-15T00:00:00"/>
    <d v="2022-08-13T00:00:00"/>
    <n v="5"/>
    <n v="4.0999999999999996"/>
    <n v="0"/>
    <x v="0"/>
    <x v="15"/>
    <x v="441"/>
  </r>
  <r>
    <n v="564"/>
    <x v="563"/>
    <x v="43"/>
    <x v="1"/>
    <x v="2"/>
    <d v="2022-07-11T00:00:00"/>
    <d v="2023-01-31T00:00:00"/>
    <n v="249"/>
    <n v="3.9"/>
    <n v="1"/>
    <x v="1"/>
    <x v="28"/>
    <x v="442"/>
  </r>
  <r>
    <n v="565"/>
    <x v="564"/>
    <x v="16"/>
    <x v="0"/>
    <x v="2"/>
    <d v="2023-07-06T00:00:00"/>
    <d v="2024-06-21T00:00:00"/>
    <n v="203"/>
    <n v="3.6"/>
    <n v="0"/>
    <x v="0"/>
    <x v="2"/>
    <x v="443"/>
  </r>
  <r>
    <n v="566"/>
    <x v="565"/>
    <x v="2"/>
    <x v="0"/>
    <x v="2"/>
    <d v="2022-11-16T00:00:00"/>
    <d v="2022-12-21T00:00:00"/>
    <n v="426"/>
    <n v="4.8"/>
    <n v="0"/>
    <x v="0"/>
    <x v="25"/>
    <x v="444"/>
  </r>
  <r>
    <n v="567"/>
    <x v="566"/>
    <x v="24"/>
    <x v="0"/>
    <x v="0"/>
    <d v="2022-08-08T00:00:00"/>
    <d v="2022-09-14T00:00:00"/>
    <n v="385"/>
    <n v="1.7"/>
    <n v="1"/>
    <x v="1"/>
    <x v="26"/>
    <x v="445"/>
  </r>
  <r>
    <n v="568"/>
    <x v="567"/>
    <x v="24"/>
    <x v="1"/>
    <x v="0"/>
    <d v="2024-04-30T00:00:00"/>
    <d v="2024-05-10T00:00:00"/>
    <n v="339"/>
    <n v="1.5"/>
    <n v="0"/>
    <x v="0"/>
    <x v="13"/>
    <x v="348"/>
  </r>
  <r>
    <n v="569"/>
    <x v="568"/>
    <x v="37"/>
    <x v="1"/>
    <x v="0"/>
    <d v="2022-05-02T00:00:00"/>
    <d v="2023-02-25T00:00:00"/>
    <n v="460"/>
    <n v="3.7"/>
    <n v="0"/>
    <x v="0"/>
    <x v="7"/>
    <x v="446"/>
  </r>
  <r>
    <n v="570"/>
    <x v="569"/>
    <x v="38"/>
    <x v="1"/>
    <x v="0"/>
    <d v="2022-01-25T00:00:00"/>
    <d v="2022-11-19T00:00:00"/>
    <n v="305"/>
    <n v="3.2"/>
    <n v="1"/>
    <x v="1"/>
    <x v="22"/>
    <x v="447"/>
  </r>
  <r>
    <n v="571"/>
    <x v="570"/>
    <x v="26"/>
    <x v="0"/>
    <x v="2"/>
    <d v="2023-08-28T00:00:00"/>
    <d v="2024-02-21T00:00:00"/>
    <n v="365"/>
    <n v="4.2"/>
    <n v="1"/>
    <x v="1"/>
    <x v="11"/>
    <x v="363"/>
  </r>
  <r>
    <n v="572"/>
    <x v="571"/>
    <x v="14"/>
    <x v="0"/>
    <x v="0"/>
    <d v="2023-11-08T00:00:00"/>
    <d v="2024-03-23T00:00:00"/>
    <n v="273"/>
    <n v="2.2999999999999998"/>
    <n v="0"/>
    <x v="0"/>
    <x v="19"/>
    <x v="448"/>
  </r>
  <r>
    <n v="573"/>
    <x v="572"/>
    <x v="22"/>
    <x v="1"/>
    <x v="1"/>
    <d v="2023-04-17T00:00:00"/>
    <d v="2023-11-09T00:00:00"/>
    <n v="458"/>
    <n v="1"/>
    <n v="1"/>
    <x v="1"/>
    <x v="3"/>
    <x v="449"/>
  </r>
  <r>
    <n v="574"/>
    <x v="573"/>
    <x v="44"/>
    <x v="1"/>
    <x v="1"/>
    <d v="2023-09-08T00:00:00"/>
    <d v="2024-08-10T00:00:00"/>
    <n v="64"/>
    <n v="3.2"/>
    <n v="0"/>
    <x v="0"/>
    <x v="12"/>
    <x v="450"/>
  </r>
  <r>
    <n v="575"/>
    <x v="574"/>
    <x v="18"/>
    <x v="0"/>
    <x v="1"/>
    <d v="2022-04-12T00:00:00"/>
    <d v="2022-11-09T00:00:00"/>
    <n v="184"/>
    <n v="2.2000000000000002"/>
    <n v="0"/>
    <x v="0"/>
    <x v="1"/>
    <x v="451"/>
  </r>
  <r>
    <n v="576"/>
    <x v="575"/>
    <x v="20"/>
    <x v="1"/>
    <x v="2"/>
    <d v="2023-06-10T00:00:00"/>
    <d v="2023-12-24T00:00:00"/>
    <n v="90"/>
    <n v="2.8"/>
    <n v="0"/>
    <x v="0"/>
    <x v="17"/>
    <x v="452"/>
  </r>
  <r>
    <n v="577"/>
    <x v="576"/>
    <x v="19"/>
    <x v="1"/>
    <x v="0"/>
    <d v="2023-01-10T00:00:00"/>
    <d v="2023-04-17T00:00:00"/>
    <n v="39"/>
    <n v="3.2"/>
    <n v="0"/>
    <x v="0"/>
    <x v="10"/>
    <x v="163"/>
  </r>
  <r>
    <n v="578"/>
    <x v="577"/>
    <x v="16"/>
    <x v="1"/>
    <x v="2"/>
    <d v="2022-12-31T00:00:00"/>
    <d v="2023-05-15T00:00:00"/>
    <n v="87"/>
    <n v="3.1"/>
    <n v="0"/>
    <x v="0"/>
    <x v="23"/>
    <x v="453"/>
  </r>
  <r>
    <n v="579"/>
    <x v="578"/>
    <x v="8"/>
    <x v="1"/>
    <x v="1"/>
    <d v="2022-02-16T00:00:00"/>
    <d v="2022-06-08T00:00:00"/>
    <n v="282"/>
    <n v="2.1"/>
    <n v="0"/>
    <x v="0"/>
    <x v="15"/>
    <x v="454"/>
  </r>
  <r>
    <n v="580"/>
    <x v="579"/>
    <x v="16"/>
    <x v="0"/>
    <x v="1"/>
    <d v="2023-08-20T00:00:00"/>
    <d v="2024-02-13T00:00:00"/>
    <n v="201"/>
    <n v="4.0999999999999996"/>
    <n v="0"/>
    <x v="0"/>
    <x v="11"/>
    <x v="340"/>
  </r>
  <r>
    <n v="581"/>
    <x v="580"/>
    <x v="39"/>
    <x v="1"/>
    <x v="1"/>
    <d v="2022-12-25T00:00:00"/>
    <d v="2023-05-07T00:00:00"/>
    <n v="367"/>
    <n v="1.2"/>
    <n v="0"/>
    <x v="0"/>
    <x v="23"/>
    <x v="455"/>
  </r>
  <r>
    <n v="582"/>
    <x v="581"/>
    <x v="34"/>
    <x v="0"/>
    <x v="1"/>
    <d v="2022-08-04T00:00:00"/>
    <d v="2022-08-11T00:00:00"/>
    <n v="400"/>
    <n v="4.4000000000000004"/>
    <n v="0"/>
    <x v="0"/>
    <x v="26"/>
    <x v="122"/>
  </r>
  <r>
    <n v="583"/>
    <x v="582"/>
    <x v="25"/>
    <x v="0"/>
    <x v="0"/>
    <d v="2024-02-25T00:00:00"/>
    <d v="2025-02-12T00:00:00"/>
    <n v="130"/>
    <n v="1.6"/>
    <n v="0"/>
    <x v="0"/>
    <x v="4"/>
    <x v="456"/>
  </r>
  <r>
    <n v="584"/>
    <x v="583"/>
    <x v="39"/>
    <x v="0"/>
    <x v="0"/>
    <d v="2024-05-02T00:00:00"/>
    <d v="2024-10-08T00:00:00"/>
    <n v="38"/>
    <n v="1.3"/>
    <n v="0"/>
    <x v="0"/>
    <x v="0"/>
    <x v="214"/>
  </r>
  <r>
    <n v="585"/>
    <x v="584"/>
    <x v="45"/>
    <x v="0"/>
    <x v="0"/>
    <d v="2023-05-26T00:00:00"/>
    <d v="2024-02-19T00:00:00"/>
    <n v="85"/>
    <n v="3.3"/>
    <n v="1"/>
    <x v="1"/>
    <x v="16"/>
    <x v="38"/>
  </r>
  <r>
    <n v="586"/>
    <x v="585"/>
    <x v="1"/>
    <x v="1"/>
    <x v="0"/>
    <d v="2023-10-20T00:00:00"/>
    <d v="2023-11-25T00:00:00"/>
    <n v="367"/>
    <n v="1.8"/>
    <n v="1"/>
    <x v="1"/>
    <x v="27"/>
    <x v="457"/>
  </r>
  <r>
    <n v="587"/>
    <x v="586"/>
    <x v="31"/>
    <x v="1"/>
    <x v="2"/>
    <d v="2023-02-01T00:00:00"/>
    <d v="2023-07-29T00:00:00"/>
    <n v="359"/>
    <n v="4.4000000000000004"/>
    <n v="1"/>
    <x v="1"/>
    <x v="20"/>
    <x v="458"/>
  </r>
  <r>
    <n v="588"/>
    <x v="587"/>
    <x v="25"/>
    <x v="0"/>
    <x v="1"/>
    <d v="2024-01-22T00:00:00"/>
    <d v="2024-03-28T00:00:00"/>
    <n v="337"/>
    <n v="3.4"/>
    <n v="1"/>
    <x v="1"/>
    <x v="6"/>
    <x v="407"/>
  </r>
  <r>
    <n v="589"/>
    <x v="588"/>
    <x v="23"/>
    <x v="0"/>
    <x v="0"/>
    <d v="2023-10-22T00:00:00"/>
    <d v="2024-04-01T00:00:00"/>
    <n v="369"/>
    <n v="1.3"/>
    <n v="0"/>
    <x v="0"/>
    <x v="27"/>
    <x v="459"/>
  </r>
  <r>
    <n v="590"/>
    <x v="589"/>
    <x v="24"/>
    <x v="1"/>
    <x v="1"/>
    <d v="2022-11-20T00:00:00"/>
    <d v="2023-04-11T00:00:00"/>
    <n v="495"/>
    <n v="4.9000000000000004"/>
    <n v="0"/>
    <x v="0"/>
    <x v="25"/>
    <x v="358"/>
  </r>
  <r>
    <n v="591"/>
    <x v="590"/>
    <x v="12"/>
    <x v="0"/>
    <x v="1"/>
    <d v="2022-09-18T00:00:00"/>
    <d v="2023-05-25T00:00:00"/>
    <n v="207"/>
    <n v="2.5"/>
    <n v="0"/>
    <x v="0"/>
    <x v="14"/>
    <x v="184"/>
  </r>
  <r>
    <n v="592"/>
    <x v="591"/>
    <x v="0"/>
    <x v="0"/>
    <x v="2"/>
    <d v="2022-11-12T00:00:00"/>
    <d v="2023-07-03T00:00:00"/>
    <n v="392"/>
    <n v="2.5"/>
    <n v="0"/>
    <x v="0"/>
    <x v="25"/>
    <x v="460"/>
  </r>
  <r>
    <n v="593"/>
    <x v="592"/>
    <x v="39"/>
    <x v="1"/>
    <x v="2"/>
    <d v="2024-06-14T00:00:00"/>
    <d v="2024-09-10T00:00:00"/>
    <n v="411"/>
    <n v="2.2999999999999998"/>
    <n v="0"/>
    <x v="0"/>
    <x v="29"/>
    <x v="167"/>
  </r>
  <r>
    <n v="594"/>
    <x v="593"/>
    <x v="33"/>
    <x v="0"/>
    <x v="2"/>
    <d v="2022-02-27T00:00:00"/>
    <d v="2022-08-12T00:00:00"/>
    <n v="196"/>
    <n v="2"/>
    <n v="0"/>
    <x v="0"/>
    <x v="15"/>
    <x v="461"/>
  </r>
  <r>
    <n v="595"/>
    <x v="594"/>
    <x v="30"/>
    <x v="1"/>
    <x v="0"/>
    <d v="2023-02-16T00:00:00"/>
    <d v="2023-07-29T00:00:00"/>
    <n v="17"/>
    <n v="4.4000000000000004"/>
    <n v="0"/>
    <x v="0"/>
    <x v="20"/>
    <x v="458"/>
  </r>
  <r>
    <n v="596"/>
    <x v="595"/>
    <x v="2"/>
    <x v="0"/>
    <x v="1"/>
    <d v="2024-06-12T00:00:00"/>
    <d v="2025-01-22T00:00:00"/>
    <n v="437"/>
    <n v="3"/>
    <n v="0"/>
    <x v="0"/>
    <x v="29"/>
    <x v="462"/>
  </r>
  <r>
    <n v="597"/>
    <x v="596"/>
    <x v="22"/>
    <x v="1"/>
    <x v="2"/>
    <d v="2022-03-18T00:00:00"/>
    <d v="2022-05-16T00:00:00"/>
    <n v="257"/>
    <n v="4.0999999999999996"/>
    <n v="0"/>
    <x v="0"/>
    <x v="5"/>
    <x v="463"/>
  </r>
  <r>
    <n v="598"/>
    <x v="597"/>
    <x v="20"/>
    <x v="0"/>
    <x v="2"/>
    <d v="2023-09-25T00:00:00"/>
    <d v="2023-12-09T00:00:00"/>
    <n v="258"/>
    <n v="1.5"/>
    <n v="0"/>
    <x v="0"/>
    <x v="12"/>
    <x v="464"/>
  </r>
  <r>
    <n v="599"/>
    <x v="598"/>
    <x v="31"/>
    <x v="1"/>
    <x v="0"/>
    <d v="2022-10-19T00:00:00"/>
    <d v="2023-10-17T00:00:00"/>
    <n v="16"/>
    <n v="5"/>
    <n v="1"/>
    <x v="1"/>
    <x v="18"/>
    <x v="368"/>
  </r>
  <r>
    <n v="600"/>
    <x v="599"/>
    <x v="38"/>
    <x v="0"/>
    <x v="0"/>
    <d v="2023-10-28T00:00:00"/>
    <d v="2023-11-26T00:00:00"/>
    <n v="1"/>
    <n v="4.4000000000000004"/>
    <n v="1"/>
    <x v="1"/>
    <x v="27"/>
    <x v="225"/>
  </r>
  <r>
    <n v="601"/>
    <x v="600"/>
    <x v="10"/>
    <x v="0"/>
    <x v="1"/>
    <d v="2022-05-22T00:00:00"/>
    <d v="2022-09-09T00:00:00"/>
    <n v="186"/>
    <n v="4.5"/>
    <n v="1"/>
    <x v="1"/>
    <x v="7"/>
    <x v="197"/>
  </r>
  <r>
    <n v="602"/>
    <x v="601"/>
    <x v="20"/>
    <x v="0"/>
    <x v="0"/>
    <d v="2024-04-16T00:00:00"/>
    <d v="2024-06-18T00:00:00"/>
    <n v="427"/>
    <n v="1.3"/>
    <n v="0"/>
    <x v="0"/>
    <x v="13"/>
    <x v="35"/>
  </r>
  <r>
    <n v="603"/>
    <x v="602"/>
    <x v="0"/>
    <x v="1"/>
    <x v="2"/>
    <d v="2024-01-28T00:00:00"/>
    <d v="2024-02-19T00:00:00"/>
    <n v="399"/>
    <n v="3.5"/>
    <n v="1"/>
    <x v="1"/>
    <x v="6"/>
    <x v="38"/>
  </r>
  <r>
    <n v="604"/>
    <x v="603"/>
    <x v="31"/>
    <x v="1"/>
    <x v="0"/>
    <d v="2024-04-27T00:00:00"/>
    <d v="2024-08-09T00:00:00"/>
    <n v="173"/>
    <n v="1.3"/>
    <n v="0"/>
    <x v="0"/>
    <x v="13"/>
    <x v="152"/>
  </r>
  <r>
    <n v="605"/>
    <x v="604"/>
    <x v="44"/>
    <x v="1"/>
    <x v="1"/>
    <d v="2022-06-07T00:00:00"/>
    <d v="2022-12-11T00:00:00"/>
    <n v="145"/>
    <n v="2.2999999999999998"/>
    <n v="0"/>
    <x v="0"/>
    <x v="8"/>
    <x v="395"/>
  </r>
  <r>
    <n v="606"/>
    <x v="605"/>
    <x v="37"/>
    <x v="0"/>
    <x v="1"/>
    <d v="2022-10-11T00:00:00"/>
    <d v="2023-08-11T00:00:00"/>
    <n v="273"/>
    <n v="3"/>
    <n v="0"/>
    <x v="0"/>
    <x v="18"/>
    <x v="465"/>
  </r>
  <r>
    <n v="607"/>
    <x v="606"/>
    <x v="16"/>
    <x v="0"/>
    <x v="1"/>
    <d v="2023-04-02T00:00:00"/>
    <d v="2023-06-17T00:00:00"/>
    <n v="308"/>
    <n v="3"/>
    <n v="0"/>
    <x v="0"/>
    <x v="3"/>
    <x v="158"/>
  </r>
  <r>
    <n v="608"/>
    <x v="607"/>
    <x v="32"/>
    <x v="0"/>
    <x v="1"/>
    <d v="2022-01-08T00:00:00"/>
    <d v="2022-06-11T00:00:00"/>
    <n v="15"/>
    <n v="2.4"/>
    <n v="1"/>
    <x v="1"/>
    <x v="22"/>
    <x v="466"/>
  </r>
  <r>
    <n v="609"/>
    <x v="608"/>
    <x v="40"/>
    <x v="0"/>
    <x v="0"/>
    <d v="2023-12-26T00:00:00"/>
    <d v="2024-09-28T00:00:00"/>
    <n v="492"/>
    <n v="3.9"/>
    <n v="0"/>
    <x v="0"/>
    <x v="21"/>
    <x v="467"/>
  </r>
  <r>
    <n v="610"/>
    <x v="609"/>
    <x v="40"/>
    <x v="0"/>
    <x v="1"/>
    <d v="2023-06-23T00:00:00"/>
    <d v="2023-12-13T00:00:00"/>
    <n v="335"/>
    <n v="4.0999999999999996"/>
    <n v="1"/>
    <x v="1"/>
    <x v="17"/>
    <x v="468"/>
  </r>
  <r>
    <n v="611"/>
    <x v="610"/>
    <x v="32"/>
    <x v="0"/>
    <x v="2"/>
    <d v="2023-01-26T00:00:00"/>
    <d v="2023-02-22T00:00:00"/>
    <n v="438"/>
    <n v="4.3"/>
    <n v="1"/>
    <x v="1"/>
    <x v="10"/>
    <x v="469"/>
  </r>
  <r>
    <n v="612"/>
    <x v="611"/>
    <x v="1"/>
    <x v="0"/>
    <x v="0"/>
    <d v="2022-11-16T00:00:00"/>
    <d v="2023-07-01T00:00:00"/>
    <n v="384"/>
    <n v="2.1"/>
    <n v="1"/>
    <x v="1"/>
    <x v="25"/>
    <x v="71"/>
  </r>
  <r>
    <n v="613"/>
    <x v="612"/>
    <x v="31"/>
    <x v="0"/>
    <x v="2"/>
    <d v="2022-03-09T00:00:00"/>
    <d v="2022-12-06T00:00:00"/>
    <n v="143"/>
    <n v="1.9"/>
    <n v="1"/>
    <x v="1"/>
    <x v="5"/>
    <x v="18"/>
  </r>
  <r>
    <n v="614"/>
    <x v="613"/>
    <x v="34"/>
    <x v="1"/>
    <x v="2"/>
    <d v="2023-04-01T00:00:00"/>
    <d v="2023-06-28T00:00:00"/>
    <n v="451"/>
    <n v="2"/>
    <n v="1"/>
    <x v="1"/>
    <x v="3"/>
    <x v="470"/>
  </r>
  <r>
    <n v="615"/>
    <x v="614"/>
    <x v="17"/>
    <x v="1"/>
    <x v="0"/>
    <d v="2024-02-22T00:00:00"/>
    <d v="2024-12-11T00:00:00"/>
    <n v="84"/>
    <n v="2"/>
    <n v="0"/>
    <x v="0"/>
    <x v="4"/>
    <x v="471"/>
  </r>
  <r>
    <n v="616"/>
    <x v="615"/>
    <x v="14"/>
    <x v="1"/>
    <x v="2"/>
    <d v="2022-08-18T00:00:00"/>
    <d v="2023-01-07T00:00:00"/>
    <n v="313"/>
    <n v="1.8"/>
    <n v="0"/>
    <x v="0"/>
    <x v="26"/>
    <x v="472"/>
  </r>
  <r>
    <n v="617"/>
    <x v="616"/>
    <x v="1"/>
    <x v="1"/>
    <x v="0"/>
    <d v="2022-11-10T00:00:00"/>
    <d v="2023-06-17T00:00:00"/>
    <n v="366"/>
    <n v="1"/>
    <n v="0"/>
    <x v="0"/>
    <x v="25"/>
    <x v="158"/>
  </r>
  <r>
    <n v="618"/>
    <x v="617"/>
    <x v="26"/>
    <x v="0"/>
    <x v="0"/>
    <d v="2024-02-28T00:00:00"/>
    <d v="2025-01-07T00:00:00"/>
    <n v="274"/>
    <n v="1.4"/>
    <n v="1"/>
    <x v="1"/>
    <x v="4"/>
    <x v="228"/>
  </r>
  <r>
    <n v="619"/>
    <x v="618"/>
    <x v="29"/>
    <x v="0"/>
    <x v="2"/>
    <d v="2024-03-13T00:00:00"/>
    <d v="2024-06-05T00:00:00"/>
    <n v="410"/>
    <n v="2"/>
    <n v="0"/>
    <x v="0"/>
    <x v="9"/>
    <x v="473"/>
  </r>
  <r>
    <n v="620"/>
    <x v="619"/>
    <x v="7"/>
    <x v="1"/>
    <x v="2"/>
    <d v="2022-03-29T00:00:00"/>
    <d v="2022-07-28T00:00:00"/>
    <n v="54"/>
    <n v="4.5999999999999996"/>
    <n v="1"/>
    <x v="1"/>
    <x v="5"/>
    <x v="474"/>
  </r>
  <r>
    <n v="621"/>
    <x v="620"/>
    <x v="26"/>
    <x v="0"/>
    <x v="0"/>
    <d v="2023-08-28T00:00:00"/>
    <d v="2023-09-03T00:00:00"/>
    <n v="314"/>
    <n v="1.5"/>
    <n v="1"/>
    <x v="1"/>
    <x v="11"/>
    <x v="380"/>
  </r>
  <r>
    <n v="622"/>
    <x v="621"/>
    <x v="9"/>
    <x v="0"/>
    <x v="2"/>
    <d v="2022-06-13T00:00:00"/>
    <d v="2022-12-12T00:00:00"/>
    <n v="177"/>
    <n v="3.2"/>
    <n v="1"/>
    <x v="1"/>
    <x v="8"/>
    <x v="475"/>
  </r>
  <r>
    <n v="623"/>
    <x v="622"/>
    <x v="4"/>
    <x v="0"/>
    <x v="0"/>
    <d v="2023-10-16T00:00:00"/>
    <d v="2024-06-30T00:00:00"/>
    <n v="254"/>
    <n v="4.9000000000000004"/>
    <n v="0"/>
    <x v="0"/>
    <x v="27"/>
    <x v="110"/>
  </r>
  <r>
    <n v="624"/>
    <x v="623"/>
    <x v="43"/>
    <x v="0"/>
    <x v="0"/>
    <d v="2022-09-20T00:00:00"/>
    <d v="2023-06-06T00:00:00"/>
    <n v="362"/>
    <n v="2.9"/>
    <n v="1"/>
    <x v="1"/>
    <x v="14"/>
    <x v="476"/>
  </r>
  <r>
    <n v="625"/>
    <x v="624"/>
    <x v="40"/>
    <x v="0"/>
    <x v="2"/>
    <d v="2024-03-23T00:00:00"/>
    <d v="2024-09-15T00:00:00"/>
    <n v="241"/>
    <n v="2"/>
    <n v="0"/>
    <x v="0"/>
    <x v="9"/>
    <x v="477"/>
  </r>
  <r>
    <n v="626"/>
    <x v="625"/>
    <x v="15"/>
    <x v="0"/>
    <x v="1"/>
    <d v="2023-02-05T00:00:00"/>
    <d v="2023-12-26T00:00:00"/>
    <n v="441"/>
    <n v="2.6"/>
    <n v="0"/>
    <x v="0"/>
    <x v="20"/>
    <x v="478"/>
  </r>
  <r>
    <n v="627"/>
    <x v="626"/>
    <x v="20"/>
    <x v="1"/>
    <x v="1"/>
    <d v="2022-04-01T00:00:00"/>
    <d v="2022-04-30T00:00:00"/>
    <n v="384"/>
    <n v="2.8"/>
    <n v="0"/>
    <x v="0"/>
    <x v="1"/>
    <x v="479"/>
  </r>
  <r>
    <n v="628"/>
    <x v="627"/>
    <x v="23"/>
    <x v="1"/>
    <x v="1"/>
    <d v="2023-06-23T00:00:00"/>
    <d v="2023-08-01T00:00:00"/>
    <n v="340"/>
    <n v="2.7"/>
    <n v="1"/>
    <x v="1"/>
    <x v="17"/>
    <x v="66"/>
  </r>
  <r>
    <n v="629"/>
    <x v="628"/>
    <x v="8"/>
    <x v="0"/>
    <x v="2"/>
    <d v="2023-07-07T00:00:00"/>
    <d v="2023-12-09T00:00:00"/>
    <n v="325"/>
    <n v="3.1"/>
    <n v="0"/>
    <x v="0"/>
    <x v="2"/>
    <x v="464"/>
  </r>
  <r>
    <n v="630"/>
    <x v="629"/>
    <x v="39"/>
    <x v="1"/>
    <x v="0"/>
    <d v="2022-10-11T00:00:00"/>
    <d v="2023-02-09T00:00:00"/>
    <n v="107"/>
    <n v="3.3"/>
    <n v="1"/>
    <x v="1"/>
    <x v="18"/>
    <x v="403"/>
  </r>
  <r>
    <n v="631"/>
    <x v="630"/>
    <x v="3"/>
    <x v="1"/>
    <x v="1"/>
    <d v="2022-05-29T00:00:00"/>
    <d v="2023-05-24T00:00:00"/>
    <n v="340"/>
    <n v="2.5"/>
    <n v="0"/>
    <x v="0"/>
    <x v="7"/>
    <x v="480"/>
  </r>
  <r>
    <n v="632"/>
    <x v="631"/>
    <x v="2"/>
    <x v="0"/>
    <x v="0"/>
    <d v="2023-12-10T00:00:00"/>
    <d v="2024-07-05T00:00:00"/>
    <n v="237"/>
    <n v="5"/>
    <n v="1"/>
    <x v="1"/>
    <x v="21"/>
    <x v="481"/>
  </r>
  <r>
    <n v="633"/>
    <x v="632"/>
    <x v="23"/>
    <x v="0"/>
    <x v="2"/>
    <d v="2023-08-16T00:00:00"/>
    <d v="2023-12-23T00:00:00"/>
    <n v="321"/>
    <n v="4.0999999999999996"/>
    <n v="1"/>
    <x v="1"/>
    <x v="11"/>
    <x v="139"/>
  </r>
  <r>
    <n v="634"/>
    <x v="633"/>
    <x v="32"/>
    <x v="1"/>
    <x v="1"/>
    <d v="2023-09-27T00:00:00"/>
    <d v="2023-10-11T00:00:00"/>
    <n v="303"/>
    <n v="3.1"/>
    <n v="0"/>
    <x v="0"/>
    <x v="12"/>
    <x v="20"/>
  </r>
  <r>
    <n v="635"/>
    <x v="634"/>
    <x v="25"/>
    <x v="0"/>
    <x v="0"/>
    <d v="2024-06-16T00:00:00"/>
    <d v="2025-06-11T00:00:00"/>
    <n v="499"/>
    <n v="5"/>
    <n v="0"/>
    <x v="0"/>
    <x v="29"/>
    <x v="482"/>
  </r>
  <r>
    <n v="636"/>
    <x v="635"/>
    <x v="4"/>
    <x v="0"/>
    <x v="1"/>
    <d v="2023-09-09T00:00:00"/>
    <d v="2023-11-10T00:00:00"/>
    <n v="479"/>
    <n v="4.4000000000000004"/>
    <n v="1"/>
    <x v="1"/>
    <x v="12"/>
    <x v="59"/>
  </r>
  <r>
    <n v="637"/>
    <x v="636"/>
    <x v="33"/>
    <x v="1"/>
    <x v="2"/>
    <d v="2023-03-07T00:00:00"/>
    <d v="2023-10-03T00:00:00"/>
    <n v="122"/>
    <n v="4.3"/>
    <n v="1"/>
    <x v="1"/>
    <x v="24"/>
    <x v="138"/>
  </r>
  <r>
    <n v="638"/>
    <x v="637"/>
    <x v="35"/>
    <x v="0"/>
    <x v="0"/>
    <d v="2024-05-31T00:00:00"/>
    <d v="2024-12-18T00:00:00"/>
    <n v="38"/>
    <n v="4.9000000000000004"/>
    <n v="1"/>
    <x v="1"/>
    <x v="0"/>
    <x v="483"/>
  </r>
  <r>
    <n v="639"/>
    <x v="638"/>
    <x v="29"/>
    <x v="0"/>
    <x v="2"/>
    <d v="2023-07-09T00:00:00"/>
    <d v="2023-08-04T00:00:00"/>
    <n v="373"/>
    <n v="1.6"/>
    <n v="0"/>
    <x v="0"/>
    <x v="2"/>
    <x v="484"/>
  </r>
  <r>
    <n v="640"/>
    <x v="639"/>
    <x v="23"/>
    <x v="0"/>
    <x v="1"/>
    <d v="2022-04-03T00:00:00"/>
    <d v="2022-04-26T00:00:00"/>
    <n v="421"/>
    <n v="4"/>
    <n v="1"/>
    <x v="1"/>
    <x v="1"/>
    <x v="485"/>
  </r>
  <r>
    <n v="641"/>
    <x v="640"/>
    <x v="14"/>
    <x v="1"/>
    <x v="2"/>
    <d v="2023-02-20T00:00:00"/>
    <d v="2023-11-07T00:00:00"/>
    <n v="89"/>
    <n v="3.4"/>
    <n v="0"/>
    <x v="0"/>
    <x v="20"/>
    <x v="240"/>
  </r>
  <r>
    <n v="642"/>
    <x v="641"/>
    <x v="25"/>
    <x v="0"/>
    <x v="0"/>
    <d v="2022-03-03T00:00:00"/>
    <d v="2022-12-18T00:00:00"/>
    <n v="297"/>
    <n v="3.5"/>
    <n v="1"/>
    <x v="1"/>
    <x v="5"/>
    <x v="390"/>
  </r>
  <r>
    <n v="643"/>
    <x v="642"/>
    <x v="33"/>
    <x v="1"/>
    <x v="0"/>
    <d v="2023-05-04T00:00:00"/>
    <d v="2023-06-30T00:00:00"/>
    <n v="345"/>
    <n v="2.7"/>
    <n v="0"/>
    <x v="0"/>
    <x v="16"/>
    <x v="486"/>
  </r>
  <r>
    <n v="644"/>
    <x v="643"/>
    <x v="32"/>
    <x v="0"/>
    <x v="1"/>
    <d v="2022-01-25T00:00:00"/>
    <d v="2022-02-25T00:00:00"/>
    <n v="251"/>
    <n v="1.3"/>
    <n v="0"/>
    <x v="0"/>
    <x v="22"/>
    <x v="487"/>
  </r>
  <r>
    <n v="645"/>
    <x v="644"/>
    <x v="44"/>
    <x v="0"/>
    <x v="2"/>
    <d v="2022-06-26T00:00:00"/>
    <d v="2022-12-07T00:00:00"/>
    <n v="473"/>
    <n v="2.9"/>
    <n v="0"/>
    <x v="0"/>
    <x v="8"/>
    <x v="488"/>
  </r>
  <r>
    <n v="646"/>
    <x v="645"/>
    <x v="12"/>
    <x v="1"/>
    <x v="1"/>
    <d v="2023-01-20T00:00:00"/>
    <d v="2023-12-09T00:00:00"/>
    <n v="435"/>
    <n v="2.9"/>
    <n v="1"/>
    <x v="1"/>
    <x v="10"/>
    <x v="464"/>
  </r>
  <r>
    <n v="647"/>
    <x v="646"/>
    <x v="40"/>
    <x v="0"/>
    <x v="0"/>
    <d v="2023-05-13T00:00:00"/>
    <d v="2024-05-07T00:00:00"/>
    <n v="106"/>
    <n v="2.4"/>
    <n v="0"/>
    <x v="0"/>
    <x v="16"/>
    <x v="90"/>
  </r>
  <r>
    <n v="648"/>
    <x v="647"/>
    <x v="47"/>
    <x v="1"/>
    <x v="0"/>
    <d v="2023-03-30T00:00:00"/>
    <d v="2023-06-08T00:00:00"/>
    <n v="101"/>
    <n v="2.7"/>
    <n v="1"/>
    <x v="1"/>
    <x v="24"/>
    <x v="350"/>
  </r>
  <r>
    <n v="649"/>
    <x v="648"/>
    <x v="26"/>
    <x v="1"/>
    <x v="0"/>
    <d v="2022-01-05T00:00:00"/>
    <d v="2022-10-10T00:00:00"/>
    <n v="243"/>
    <n v="3.9"/>
    <n v="0"/>
    <x v="0"/>
    <x v="22"/>
    <x v="263"/>
  </r>
  <r>
    <n v="650"/>
    <x v="649"/>
    <x v="12"/>
    <x v="0"/>
    <x v="2"/>
    <d v="2024-05-07T00:00:00"/>
    <d v="2024-06-16T00:00:00"/>
    <n v="290"/>
    <n v="3.7"/>
    <n v="1"/>
    <x v="1"/>
    <x v="0"/>
    <x v="260"/>
  </r>
  <r>
    <n v="651"/>
    <x v="650"/>
    <x v="43"/>
    <x v="1"/>
    <x v="1"/>
    <d v="2022-04-24T00:00:00"/>
    <d v="2022-09-16T00:00:00"/>
    <n v="178"/>
    <n v="1.9"/>
    <n v="0"/>
    <x v="0"/>
    <x v="1"/>
    <x v="489"/>
  </r>
  <r>
    <n v="652"/>
    <x v="651"/>
    <x v="13"/>
    <x v="0"/>
    <x v="1"/>
    <d v="2024-02-27T00:00:00"/>
    <d v="2024-05-09T00:00:00"/>
    <n v="153"/>
    <n v="2"/>
    <n v="0"/>
    <x v="0"/>
    <x v="4"/>
    <x v="57"/>
  </r>
  <r>
    <n v="653"/>
    <x v="652"/>
    <x v="26"/>
    <x v="1"/>
    <x v="2"/>
    <d v="2024-01-26T00:00:00"/>
    <d v="2024-09-19T00:00:00"/>
    <n v="128"/>
    <n v="2.2999999999999998"/>
    <n v="0"/>
    <x v="0"/>
    <x v="6"/>
    <x v="490"/>
  </r>
  <r>
    <n v="654"/>
    <x v="653"/>
    <x v="32"/>
    <x v="0"/>
    <x v="0"/>
    <d v="2023-08-31T00:00:00"/>
    <d v="2024-01-04T00:00:00"/>
    <n v="235"/>
    <n v="4.4000000000000004"/>
    <n v="0"/>
    <x v="0"/>
    <x v="11"/>
    <x v="412"/>
  </r>
  <r>
    <n v="655"/>
    <x v="654"/>
    <x v="14"/>
    <x v="1"/>
    <x v="1"/>
    <d v="2023-09-16T00:00:00"/>
    <d v="2024-07-06T00:00:00"/>
    <n v="344"/>
    <n v="4.5"/>
    <n v="0"/>
    <x v="0"/>
    <x v="12"/>
    <x v="372"/>
  </r>
  <r>
    <n v="656"/>
    <x v="655"/>
    <x v="16"/>
    <x v="0"/>
    <x v="0"/>
    <d v="2022-12-15T00:00:00"/>
    <d v="2023-04-28T00:00:00"/>
    <n v="460"/>
    <n v="1.1000000000000001"/>
    <n v="0"/>
    <x v="0"/>
    <x v="23"/>
    <x v="491"/>
  </r>
  <r>
    <n v="657"/>
    <x v="656"/>
    <x v="37"/>
    <x v="1"/>
    <x v="0"/>
    <d v="2023-12-03T00:00:00"/>
    <d v="2024-05-28T00:00:00"/>
    <n v="372"/>
    <n v="1.4"/>
    <n v="1"/>
    <x v="1"/>
    <x v="21"/>
    <x v="492"/>
  </r>
  <r>
    <n v="658"/>
    <x v="657"/>
    <x v="45"/>
    <x v="1"/>
    <x v="1"/>
    <d v="2024-02-17T00:00:00"/>
    <d v="2024-09-05T00:00:00"/>
    <n v="398"/>
    <n v="2.8"/>
    <n v="1"/>
    <x v="1"/>
    <x v="4"/>
    <x v="493"/>
  </r>
  <r>
    <n v="659"/>
    <x v="658"/>
    <x v="32"/>
    <x v="1"/>
    <x v="1"/>
    <d v="2023-03-06T00:00:00"/>
    <d v="2024-02-25T00:00:00"/>
    <n v="81"/>
    <n v="1"/>
    <n v="1"/>
    <x v="1"/>
    <x v="24"/>
    <x v="494"/>
  </r>
  <r>
    <n v="660"/>
    <x v="659"/>
    <x v="37"/>
    <x v="1"/>
    <x v="1"/>
    <d v="2023-03-21T00:00:00"/>
    <d v="2023-12-04T00:00:00"/>
    <n v="115"/>
    <n v="2.5"/>
    <n v="1"/>
    <x v="1"/>
    <x v="24"/>
    <x v="495"/>
  </r>
  <r>
    <n v="661"/>
    <x v="660"/>
    <x v="37"/>
    <x v="0"/>
    <x v="0"/>
    <d v="2023-07-09T00:00:00"/>
    <d v="2023-09-17T00:00:00"/>
    <n v="392"/>
    <n v="2.2000000000000002"/>
    <n v="0"/>
    <x v="0"/>
    <x v="2"/>
    <x v="50"/>
  </r>
  <r>
    <n v="662"/>
    <x v="661"/>
    <x v="25"/>
    <x v="0"/>
    <x v="1"/>
    <d v="2023-04-27T00:00:00"/>
    <d v="2023-06-05T00:00:00"/>
    <n v="58"/>
    <n v="1.3"/>
    <n v="1"/>
    <x v="1"/>
    <x v="3"/>
    <x v="496"/>
  </r>
  <r>
    <n v="663"/>
    <x v="662"/>
    <x v="14"/>
    <x v="0"/>
    <x v="1"/>
    <d v="2022-10-10T00:00:00"/>
    <d v="2023-08-02T00:00:00"/>
    <n v="264"/>
    <n v="2.7"/>
    <n v="0"/>
    <x v="0"/>
    <x v="18"/>
    <x v="221"/>
  </r>
  <r>
    <n v="664"/>
    <x v="663"/>
    <x v="9"/>
    <x v="1"/>
    <x v="2"/>
    <d v="2023-07-28T00:00:00"/>
    <d v="2024-05-25T00:00:00"/>
    <n v="319"/>
    <n v="2.7"/>
    <n v="0"/>
    <x v="0"/>
    <x v="2"/>
    <x v="497"/>
  </r>
  <r>
    <n v="665"/>
    <x v="664"/>
    <x v="12"/>
    <x v="1"/>
    <x v="0"/>
    <d v="2023-12-31T00:00:00"/>
    <d v="2024-11-13T00:00:00"/>
    <n v="205"/>
    <n v="2.9"/>
    <n v="1"/>
    <x v="1"/>
    <x v="21"/>
    <x v="498"/>
  </r>
  <r>
    <n v="666"/>
    <x v="665"/>
    <x v="22"/>
    <x v="1"/>
    <x v="1"/>
    <d v="2022-01-08T00:00:00"/>
    <d v="2022-07-27T00:00:00"/>
    <n v="159"/>
    <n v="3.2"/>
    <n v="0"/>
    <x v="0"/>
    <x v="22"/>
    <x v="499"/>
  </r>
  <r>
    <n v="667"/>
    <x v="666"/>
    <x v="14"/>
    <x v="0"/>
    <x v="0"/>
    <d v="2022-01-18T00:00:00"/>
    <d v="2022-06-06T00:00:00"/>
    <n v="152"/>
    <n v="2.2000000000000002"/>
    <n v="1"/>
    <x v="1"/>
    <x v="22"/>
    <x v="500"/>
  </r>
  <r>
    <n v="668"/>
    <x v="667"/>
    <x v="20"/>
    <x v="0"/>
    <x v="0"/>
    <d v="2022-09-12T00:00:00"/>
    <d v="2023-09-03T00:00:00"/>
    <n v="76"/>
    <n v="1.4"/>
    <n v="0"/>
    <x v="0"/>
    <x v="14"/>
    <x v="380"/>
  </r>
  <r>
    <n v="669"/>
    <x v="668"/>
    <x v="8"/>
    <x v="1"/>
    <x v="0"/>
    <d v="2023-06-02T00:00:00"/>
    <d v="2023-11-24T00:00:00"/>
    <n v="287"/>
    <n v="4.5999999999999996"/>
    <n v="0"/>
    <x v="0"/>
    <x v="17"/>
    <x v="313"/>
  </r>
  <r>
    <n v="670"/>
    <x v="669"/>
    <x v="26"/>
    <x v="0"/>
    <x v="0"/>
    <d v="2023-05-02T00:00:00"/>
    <d v="2023-09-10T00:00:00"/>
    <n v="257"/>
    <n v="3.3"/>
    <n v="1"/>
    <x v="1"/>
    <x v="16"/>
    <x v="501"/>
  </r>
  <r>
    <n v="671"/>
    <x v="670"/>
    <x v="17"/>
    <x v="1"/>
    <x v="1"/>
    <d v="2023-05-02T00:00:00"/>
    <d v="2023-07-16T00:00:00"/>
    <n v="89"/>
    <n v="4.5"/>
    <n v="0"/>
    <x v="0"/>
    <x v="16"/>
    <x v="281"/>
  </r>
  <r>
    <n v="672"/>
    <x v="671"/>
    <x v="0"/>
    <x v="0"/>
    <x v="1"/>
    <d v="2022-02-27T00:00:00"/>
    <d v="2022-04-22T00:00:00"/>
    <n v="283"/>
    <n v="4.5999999999999996"/>
    <n v="1"/>
    <x v="1"/>
    <x v="15"/>
    <x v="502"/>
  </r>
  <r>
    <n v="673"/>
    <x v="672"/>
    <x v="27"/>
    <x v="0"/>
    <x v="2"/>
    <d v="2022-04-27T00:00:00"/>
    <d v="2022-08-17T00:00:00"/>
    <n v="192"/>
    <n v="1.5"/>
    <n v="1"/>
    <x v="1"/>
    <x v="1"/>
    <x v="503"/>
  </r>
  <r>
    <n v="674"/>
    <x v="673"/>
    <x v="8"/>
    <x v="0"/>
    <x v="1"/>
    <d v="2022-12-26T00:00:00"/>
    <d v="2023-08-01T00:00:00"/>
    <n v="124"/>
    <n v="4.0999999999999996"/>
    <n v="0"/>
    <x v="0"/>
    <x v="23"/>
    <x v="66"/>
  </r>
  <r>
    <n v="675"/>
    <x v="674"/>
    <x v="39"/>
    <x v="1"/>
    <x v="2"/>
    <d v="2022-11-06T00:00:00"/>
    <d v="2023-11-04T00:00:00"/>
    <n v="65"/>
    <n v="2.9"/>
    <n v="0"/>
    <x v="0"/>
    <x v="25"/>
    <x v="504"/>
  </r>
  <r>
    <n v="676"/>
    <x v="675"/>
    <x v="35"/>
    <x v="1"/>
    <x v="0"/>
    <d v="2023-11-27T00:00:00"/>
    <d v="2023-12-22T00:00:00"/>
    <n v="2"/>
    <n v="2.1"/>
    <n v="1"/>
    <x v="1"/>
    <x v="19"/>
    <x v="505"/>
  </r>
  <r>
    <n v="677"/>
    <x v="676"/>
    <x v="15"/>
    <x v="0"/>
    <x v="0"/>
    <d v="2024-01-04T00:00:00"/>
    <d v="2024-12-28T00:00:00"/>
    <n v="58"/>
    <n v="4.0999999999999996"/>
    <n v="1"/>
    <x v="1"/>
    <x v="6"/>
    <x v="506"/>
  </r>
  <r>
    <n v="678"/>
    <x v="677"/>
    <x v="38"/>
    <x v="1"/>
    <x v="0"/>
    <d v="2022-11-23T00:00:00"/>
    <d v="2023-06-28T00:00:00"/>
    <n v="191"/>
    <n v="1.8"/>
    <n v="0"/>
    <x v="0"/>
    <x v="25"/>
    <x v="470"/>
  </r>
  <r>
    <n v="679"/>
    <x v="678"/>
    <x v="15"/>
    <x v="1"/>
    <x v="2"/>
    <d v="2022-04-23T00:00:00"/>
    <d v="2022-06-15T00:00:00"/>
    <n v="358"/>
    <n v="1.4"/>
    <n v="0"/>
    <x v="0"/>
    <x v="1"/>
    <x v="507"/>
  </r>
  <r>
    <n v="680"/>
    <x v="679"/>
    <x v="34"/>
    <x v="1"/>
    <x v="2"/>
    <d v="2022-03-02T00:00:00"/>
    <d v="2022-12-31T00:00:00"/>
    <n v="258"/>
    <n v="1.1000000000000001"/>
    <n v="0"/>
    <x v="0"/>
    <x v="5"/>
    <x v="236"/>
  </r>
  <r>
    <n v="681"/>
    <x v="680"/>
    <x v="30"/>
    <x v="1"/>
    <x v="0"/>
    <d v="2023-03-03T00:00:00"/>
    <d v="2023-11-17T00:00:00"/>
    <n v="124"/>
    <n v="4.7"/>
    <n v="0"/>
    <x v="0"/>
    <x v="24"/>
    <x v="410"/>
  </r>
  <r>
    <n v="682"/>
    <x v="681"/>
    <x v="35"/>
    <x v="0"/>
    <x v="2"/>
    <d v="2022-04-04T00:00:00"/>
    <d v="2022-08-26T00:00:00"/>
    <n v="156"/>
    <n v="2.9"/>
    <n v="0"/>
    <x v="0"/>
    <x v="1"/>
    <x v="508"/>
  </r>
  <r>
    <n v="683"/>
    <x v="682"/>
    <x v="38"/>
    <x v="1"/>
    <x v="2"/>
    <d v="2022-12-25T00:00:00"/>
    <d v="2023-02-20T00:00:00"/>
    <n v="257"/>
    <n v="1.2"/>
    <n v="1"/>
    <x v="1"/>
    <x v="23"/>
    <x v="509"/>
  </r>
  <r>
    <n v="684"/>
    <x v="683"/>
    <x v="8"/>
    <x v="0"/>
    <x v="1"/>
    <d v="2023-10-01T00:00:00"/>
    <d v="2024-06-05T00:00:00"/>
    <n v="272"/>
    <n v="3.9"/>
    <n v="0"/>
    <x v="0"/>
    <x v="27"/>
    <x v="473"/>
  </r>
  <r>
    <n v="685"/>
    <x v="684"/>
    <x v="27"/>
    <x v="1"/>
    <x v="0"/>
    <d v="2022-07-14T00:00:00"/>
    <d v="2023-06-13T00:00:00"/>
    <n v="70"/>
    <n v="1.3"/>
    <n v="0"/>
    <x v="0"/>
    <x v="28"/>
    <x v="510"/>
  </r>
  <r>
    <n v="686"/>
    <x v="685"/>
    <x v="19"/>
    <x v="0"/>
    <x v="1"/>
    <d v="2024-02-14T00:00:00"/>
    <d v="2024-08-24T00:00:00"/>
    <n v="183"/>
    <n v="1.1000000000000001"/>
    <n v="0"/>
    <x v="0"/>
    <x v="4"/>
    <x v="181"/>
  </r>
  <r>
    <n v="687"/>
    <x v="686"/>
    <x v="41"/>
    <x v="0"/>
    <x v="0"/>
    <d v="2022-10-29T00:00:00"/>
    <d v="2023-07-26T00:00:00"/>
    <n v="399"/>
    <n v="2.6"/>
    <n v="0"/>
    <x v="0"/>
    <x v="18"/>
    <x v="511"/>
  </r>
  <r>
    <n v="688"/>
    <x v="687"/>
    <x v="2"/>
    <x v="0"/>
    <x v="2"/>
    <d v="2022-06-13T00:00:00"/>
    <d v="2022-12-19T00:00:00"/>
    <n v="28"/>
    <n v="4.5"/>
    <n v="0"/>
    <x v="0"/>
    <x v="8"/>
    <x v="512"/>
  </r>
  <r>
    <n v="689"/>
    <x v="688"/>
    <x v="10"/>
    <x v="0"/>
    <x v="2"/>
    <d v="2022-11-07T00:00:00"/>
    <d v="2023-01-14T00:00:00"/>
    <n v="466"/>
    <n v="2"/>
    <n v="0"/>
    <x v="0"/>
    <x v="25"/>
    <x v="513"/>
  </r>
  <r>
    <n v="690"/>
    <x v="689"/>
    <x v="35"/>
    <x v="1"/>
    <x v="2"/>
    <d v="2022-04-09T00:00:00"/>
    <d v="2023-02-05T00:00:00"/>
    <n v="451"/>
    <n v="2.4"/>
    <n v="1"/>
    <x v="1"/>
    <x v="1"/>
    <x v="514"/>
  </r>
  <r>
    <n v="691"/>
    <x v="690"/>
    <x v="42"/>
    <x v="1"/>
    <x v="2"/>
    <d v="2022-01-30T00:00:00"/>
    <d v="2022-03-07T00:00:00"/>
    <n v="372"/>
    <n v="3.6"/>
    <n v="1"/>
    <x v="1"/>
    <x v="22"/>
    <x v="515"/>
  </r>
  <r>
    <n v="692"/>
    <x v="691"/>
    <x v="8"/>
    <x v="0"/>
    <x v="2"/>
    <d v="2022-08-24T00:00:00"/>
    <d v="2023-02-24T00:00:00"/>
    <n v="472"/>
    <n v="4.0999999999999996"/>
    <n v="0"/>
    <x v="0"/>
    <x v="26"/>
    <x v="367"/>
  </r>
  <r>
    <n v="693"/>
    <x v="692"/>
    <x v="6"/>
    <x v="0"/>
    <x v="0"/>
    <d v="2022-03-26T00:00:00"/>
    <d v="2022-12-14T00:00:00"/>
    <n v="473"/>
    <n v="1.7"/>
    <n v="1"/>
    <x v="1"/>
    <x v="5"/>
    <x v="516"/>
  </r>
  <r>
    <n v="694"/>
    <x v="693"/>
    <x v="40"/>
    <x v="1"/>
    <x v="1"/>
    <d v="2023-12-22T00:00:00"/>
    <d v="2024-05-18T00:00:00"/>
    <n v="366"/>
    <n v="1.2"/>
    <n v="0"/>
    <x v="0"/>
    <x v="21"/>
    <x v="36"/>
  </r>
  <r>
    <n v="695"/>
    <x v="694"/>
    <x v="20"/>
    <x v="1"/>
    <x v="0"/>
    <d v="2022-09-15T00:00:00"/>
    <d v="2022-12-28T00:00:00"/>
    <n v="339"/>
    <n v="1.4"/>
    <n v="0"/>
    <x v="0"/>
    <x v="14"/>
    <x v="334"/>
  </r>
  <r>
    <n v="696"/>
    <x v="695"/>
    <x v="3"/>
    <x v="0"/>
    <x v="1"/>
    <d v="2022-07-13T00:00:00"/>
    <d v="2022-11-22T00:00:00"/>
    <n v="239"/>
    <n v="3.7"/>
    <n v="1"/>
    <x v="1"/>
    <x v="28"/>
    <x v="517"/>
  </r>
  <r>
    <n v="697"/>
    <x v="696"/>
    <x v="9"/>
    <x v="1"/>
    <x v="1"/>
    <d v="2022-11-18T00:00:00"/>
    <d v="2022-12-20T00:00:00"/>
    <n v="242"/>
    <n v="4.2"/>
    <n v="0"/>
    <x v="0"/>
    <x v="25"/>
    <x v="411"/>
  </r>
  <r>
    <n v="698"/>
    <x v="697"/>
    <x v="10"/>
    <x v="1"/>
    <x v="0"/>
    <d v="2022-02-02T00:00:00"/>
    <d v="2022-12-16T00:00:00"/>
    <n v="92"/>
    <n v="3.8"/>
    <n v="1"/>
    <x v="1"/>
    <x v="15"/>
    <x v="518"/>
  </r>
  <r>
    <n v="699"/>
    <x v="698"/>
    <x v="12"/>
    <x v="0"/>
    <x v="2"/>
    <d v="2023-02-15T00:00:00"/>
    <d v="2023-12-06T00:00:00"/>
    <n v="141"/>
    <n v="4.5999999999999996"/>
    <n v="1"/>
    <x v="1"/>
    <x v="20"/>
    <x v="254"/>
  </r>
  <r>
    <n v="700"/>
    <x v="699"/>
    <x v="42"/>
    <x v="0"/>
    <x v="0"/>
    <d v="2024-01-24T00:00:00"/>
    <d v="2024-07-14T00:00:00"/>
    <n v="375"/>
    <n v="3.3"/>
    <n v="0"/>
    <x v="0"/>
    <x v="6"/>
    <x v="262"/>
  </r>
  <r>
    <n v="701"/>
    <x v="700"/>
    <x v="15"/>
    <x v="1"/>
    <x v="0"/>
    <d v="2023-11-18T00:00:00"/>
    <d v="2023-12-23T00:00:00"/>
    <n v="88"/>
    <n v="2.7"/>
    <n v="1"/>
    <x v="1"/>
    <x v="19"/>
    <x v="139"/>
  </r>
  <r>
    <n v="702"/>
    <x v="701"/>
    <x v="31"/>
    <x v="1"/>
    <x v="1"/>
    <d v="2023-06-06T00:00:00"/>
    <d v="2023-10-13T00:00:00"/>
    <n v="414"/>
    <n v="2.6"/>
    <n v="0"/>
    <x v="0"/>
    <x v="17"/>
    <x v="519"/>
  </r>
  <r>
    <n v="703"/>
    <x v="702"/>
    <x v="17"/>
    <x v="1"/>
    <x v="2"/>
    <d v="2024-01-21T00:00:00"/>
    <d v="2024-06-04T00:00:00"/>
    <n v="18"/>
    <n v="1.6"/>
    <n v="0"/>
    <x v="0"/>
    <x v="6"/>
    <x v="520"/>
  </r>
  <r>
    <n v="704"/>
    <x v="703"/>
    <x v="44"/>
    <x v="1"/>
    <x v="0"/>
    <d v="2024-05-06T00:00:00"/>
    <d v="2025-01-18T00:00:00"/>
    <n v="206"/>
    <n v="1.7"/>
    <n v="1"/>
    <x v="1"/>
    <x v="0"/>
    <x v="521"/>
  </r>
  <r>
    <n v="705"/>
    <x v="704"/>
    <x v="13"/>
    <x v="1"/>
    <x v="0"/>
    <d v="2023-06-07T00:00:00"/>
    <d v="2024-02-06T00:00:00"/>
    <n v="278"/>
    <n v="2.9"/>
    <n v="1"/>
    <x v="1"/>
    <x v="17"/>
    <x v="209"/>
  </r>
  <r>
    <n v="706"/>
    <x v="705"/>
    <x v="0"/>
    <x v="1"/>
    <x v="0"/>
    <d v="2023-08-08T00:00:00"/>
    <d v="2024-01-25T00:00:00"/>
    <n v="473"/>
    <n v="4.8"/>
    <n v="0"/>
    <x v="0"/>
    <x v="11"/>
    <x v="522"/>
  </r>
  <r>
    <n v="707"/>
    <x v="706"/>
    <x v="27"/>
    <x v="0"/>
    <x v="1"/>
    <d v="2022-05-05T00:00:00"/>
    <d v="2022-07-21T00:00:00"/>
    <n v="99"/>
    <n v="2"/>
    <n v="0"/>
    <x v="0"/>
    <x v="7"/>
    <x v="523"/>
  </r>
  <r>
    <n v="708"/>
    <x v="707"/>
    <x v="24"/>
    <x v="1"/>
    <x v="2"/>
    <d v="2022-06-16T00:00:00"/>
    <d v="2023-06-03T00:00:00"/>
    <n v="86"/>
    <n v="2.2999999999999998"/>
    <n v="0"/>
    <x v="0"/>
    <x v="8"/>
    <x v="524"/>
  </r>
  <r>
    <n v="709"/>
    <x v="708"/>
    <x v="1"/>
    <x v="0"/>
    <x v="2"/>
    <d v="2023-05-18T00:00:00"/>
    <d v="2024-02-26T00:00:00"/>
    <n v="149"/>
    <n v="3.6"/>
    <n v="1"/>
    <x v="1"/>
    <x v="16"/>
    <x v="227"/>
  </r>
  <r>
    <n v="710"/>
    <x v="709"/>
    <x v="15"/>
    <x v="0"/>
    <x v="0"/>
    <d v="2024-02-28T00:00:00"/>
    <d v="2025-01-20T00:00:00"/>
    <n v="412"/>
    <n v="2.2999999999999998"/>
    <n v="0"/>
    <x v="0"/>
    <x v="4"/>
    <x v="389"/>
  </r>
  <r>
    <n v="711"/>
    <x v="710"/>
    <x v="19"/>
    <x v="0"/>
    <x v="0"/>
    <d v="2022-04-15T00:00:00"/>
    <d v="2022-07-24T00:00:00"/>
    <n v="446"/>
    <n v="3"/>
    <n v="0"/>
    <x v="0"/>
    <x v="1"/>
    <x v="233"/>
  </r>
  <r>
    <n v="712"/>
    <x v="711"/>
    <x v="5"/>
    <x v="0"/>
    <x v="2"/>
    <d v="2023-09-16T00:00:00"/>
    <d v="2024-03-28T00:00:00"/>
    <n v="442"/>
    <n v="1.1000000000000001"/>
    <n v="0"/>
    <x v="0"/>
    <x v="12"/>
    <x v="407"/>
  </r>
  <r>
    <n v="713"/>
    <x v="712"/>
    <x v="31"/>
    <x v="1"/>
    <x v="1"/>
    <d v="2023-12-17T00:00:00"/>
    <d v="2024-12-12T00:00:00"/>
    <n v="457"/>
    <n v="1.6"/>
    <n v="0"/>
    <x v="0"/>
    <x v="21"/>
    <x v="525"/>
  </r>
  <r>
    <n v="714"/>
    <x v="713"/>
    <x v="20"/>
    <x v="0"/>
    <x v="0"/>
    <d v="2024-04-30T00:00:00"/>
    <d v="2024-10-06T00:00:00"/>
    <n v="274"/>
    <n v="3.1"/>
    <n v="0"/>
    <x v="0"/>
    <x v="13"/>
    <x v="526"/>
  </r>
  <r>
    <n v="715"/>
    <x v="714"/>
    <x v="27"/>
    <x v="1"/>
    <x v="0"/>
    <d v="2023-10-20T00:00:00"/>
    <d v="2024-03-25T00:00:00"/>
    <n v="123"/>
    <n v="4.4000000000000004"/>
    <n v="1"/>
    <x v="1"/>
    <x v="27"/>
    <x v="162"/>
  </r>
  <r>
    <n v="716"/>
    <x v="715"/>
    <x v="1"/>
    <x v="0"/>
    <x v="2"/>
    <d v="2023-09-25T00:00:00"/>
    <d v="2023-10-24T00:00:00"/>
    <n v="108"/>
    <n v="2.5"/>
    <n v="0"/>
    <x v="0"/>
    <x v="12"/>
    <x v="527"/>
  </r>
  <r>
    <n v="717"/>
    <x v="716"/>
    <x v="9"/>
    <x v="0"/>
    <x v="0"/>
    <d v="2023-01-19T00:00:00"/>
    <d v="2023-02-11T00:00:00"/>
    <n v="46"/>
    <n v="4.7"/>
    <n v="0"/>
    <x v="0"/>
    <x v="10"/>
    <x v="528"/>
  </r>
  <r>
    <n v="718"/>
    <x v="717"/>
    <x v="38"/>
    <x v="0"/>
    <x v="2"/>
    <d v="2024-02-08T00:00:00"/>
    <d v="2024-08-10T00:00:00"/>
    <n v="367"/>
    <n v="3.2"/>
    <n v="1"/>
    <x v="1"/>
    <x v="4"/>
    <x v="450"/>
  </r>
  <r>
    <n v="719"/>
    <x v="718"/>
    <x v="10"/>
    <x v="1"/>
    <x v="0"/>
    <d v="2022-02-28T00:00:00"/>
    <d v="2022-12-11T00:00:00"/>
    <n v="252"/>
    <n v="1.8"/>
    <n v="0"/>
    <x v="0"/>
    <x v="15"/>
    <x v="395"/>
  </r>
  <r>
    <n v="720"/>
    <x v="719"/>
    <x v="45"/>
    <x v="0"/>
    <x v="1"/>
    <d v="2023-07-11T00:00:00"/>
    <d v="2024-03-06T00:00:00"/>
    <n v="243"/>
    <n v="3.6"/>
    <n v="0"/>
    <x v="0"/>
    <x v="2"/>
    <x v="189"/>
  </r>
  <r>
    <n v="721"/>
    <x v="720"/>
    <x v="14"/>
    <x v="0"/>
    <x v="1"/>
    <d v="2023-05-31T00:00:00"/>
    <d v="2023-11-30T00:00:00"/>
    <n v="65"/>
    <n v="1.2"/>
    <n v="1"/>
    <x v="1"/>
    <x v="16"/>
    <x v="529"/>
  </r>
  <r>
    <n v="722"/>
    <x v="721"/>
    <x v="31"/>
    <x v="1"/>
    <x v="1"/>
    <d v="2024-05-06T00:00:00"/>
    <d v="2025-01-14T00:00:00"/>
    <n v="147"/>
    <n v="3"/>
    <n v="1"/>
    <x v="1"/>
    <x v="0"/>
    <x v="530"/>
  </r>
  <r>
    <n v="723"/>
    <x v="722"/>
    <x v="28"/>
    <x v="1"/>
    <x v="0"/>
    <d v="2022-04-06T00:00:00"/>
    <d v="2022-06-21T00:00:00"/>
    <n v="164"/>
    <n v="4.3"/>
    <n v="1"/>
    <x v="1"/>
    <x v="1"/>
    <x v="65"/>
  </r>
  <r>
    <n v="724"/>
    <x v="723"/>
    <x v="8"/>
    <x v="0"/>
    <x v="0"/>
    <d v="2023-05-02T00:00:00"/>
    <d v="2023-10-27T00:00:00"/>
    <n v="419"/>
    <n v="4.5999999999999996"/>
    <n v="0"/>
    <x v="0"/>
    <x v="16"/>
    <x v="531"/>
  </r>
  <r>
    <n v="725"/>
    <x v="724"/>
    <x v="32"/>
    <x v="1"/>
    <x v="1"/>
    <d v="2023-08-19T00:00:00"/>
    <d v="2024-03-07T00:00:00"/>
    <n v="444"/>
    <n v="3.8"/>
    <n v="0"/>
    <x v="0"/>
    <x v="11"/>
    <x v="339"/>
  </r>
  <r>
    <n v="726"/>
    <x v="725"/>
    <x v="42"/>
    <x v="0"/>
    <x v="1"/>
    <d v="2024-03-02T00:00:00"/>
    <d v="2024-08-23T00:00:00"/>
    <n v="190"/>
    <n v="3.5"/>
    <n v="1"/>
    <x v="1"/>
    <x v="9"/>
    <x v="67"/>
  </r>
  <r>
    <n v="727"/>
    <x v="726"/>
    <x v="9"/>
    <x v="1"/>
    <x v="1"/>
    <d v="2024-01-24T00:00:00"/>
    <d v="2025-01-10T00:00:00"/>
    <n v="169"/>
    <n v="1.8"/>
    <n v="0"/>
    <x v="0"/>
    <x v="6"/>
    <x v="532"/>
  </r>
  <r>
    <n v="728"/>
    <x v="727"/>
    <x v="1"/>
    <x v="1"/>
    <x v="1"/>
    <d v="2024-06-07T00:00:00"/>
    <d v="2025-03-07T00:00:00"/>
    <n v="291"/>
    <n v="2.4"/>
    <n v="1"/>
    <x v="1"/>
    <x v="29"/>
    <x v="533"/>
  </r>
  <r>
    <n v="729"/>
    <x v="728"/>
    <x v="9"/>
    <x v="1"/>
    <x v="1"/>
    <d v="2023-08-08T00:00:00"/>
    <d v="2023-12-24T00:00:00"/>
    <n v="419"/>
    <n v="4.4000000000000004"/>
    <n v="1"/>
    <x v="1"/>
    <x v="11"/>
    <x v="452"/>
  </r>
  <r>
    <n v="730"/>
    <x v="729"/>
    <x v="0"/>
    <x v="1"/>
    <x v="0"/>
    <d v="2022-01-12T00:00:00"/>
    <d v="2022-04-13T00:00:00"/>
    <n v="486"/>
    <n v="3.8"/>
    <n v="0"/>
    <x v="0"/>
    <x v="22"/>
    <x v="534"/>
  </r>
  <r>
    <n v="731"/>
    <x v="730"/>
    <x v="17"/>
    <x v="1"/>
    <x v="0"/>
    <d v="2024-01-26T00:00:00"/>
    <d v="2024-08-05T00:00:00"/>
    <n v="389"/>
    <n v="2"/>
    <n v="0"/>
    <x v="0"/>
    <x v="6"/>
    <x v="106"/>
  </r>
  <r>
    <n v="732"/>
    <x v="731"/>
    <x v="22"/>
    <x v="1"/>
    <x v="0"/>
    <d v="2023-01-10T00:00:00"/>
    <d v="2023-05-28T00:00:00"/>
    <n v="308"/>
    <n v="2.7"/>
    <n v="0"/>
    <x v="0"/>
    <x v="10"/>
    <x v="53"/>
  </r>
  <r>
    <n v="733"/>
    <x v="732"/>
    <x v="22"/>
    <x v="1"/>
    <x v="0"/>
    <d v="2023-09-25T00:00:00"/>
    <d v="2023-10-21T00:00:00"/>
    <n v="91"/>
    <n v="1.7"/>
    <n v="0"/>
    <x v="0"/>
    <x v="12"/>
    <x v="423"/>
  </r>
  <r>
    <n v="734"/>
    <x v="733"/>
    <x v="15"/>
    <x v="0"/>
    <x v="0"/>
    <d v="2023-08-22T00:00:00"/>
    <d v="2024-05-12T00:00:00"/>
    <n v="174"/>
    <n v="4.7"/>
    <n v="1"/>
    <x v="1"/>
    <x v="11"/>
    <x v="535"/>
  </r>
  <r>
    <n v="735"/>
    <x v="734"/>
    <x v="26"/>
    <x v="0"/>
    <x v="1"/>
    <d v="2024-01-13T00:00:00"/>
    <d v="2024-03-25T00:00:00"/>
    <n v="191"/>
    <n v="2.2000000000000002"/>
    <n v="0"/>
    <x v="0"/>
    <x v="6"/>
    <x v="162"/>
  </r>
  <r>
    <n v="736"/>
    <x v="735"/>
    <x v="29"/>
    <x v="1"/>
    <x v="2"/>
    <d v="2023-03-11T00:00:00"/>
    <d v="2023-12-31T00:00:00"/>
    <n v="435"/>
    <n v="2"/>
    <n v="0"/>
    <x v="0"/>
    <x v="24"/>
    <x v="275"/>
  </r>
  <r>
    <n v="737"/>
    <x v="736"/>
    <x v="29"/>
    <x v="0"/>
    <x v="2"/>
    <d v="2023-08-02T00:00:00"/>
    <d v="2023-10-02T00:00:00"/>
    <n v="425"/>
    <n v="2"/>
    <n v="1"/>
    <x v="1"/>
    <x v="11"/>
    <x v="536"/>
  </r>
  <r>
    <n v="738"/>
    <x v="737"/>
    <x v="37"/>
    <x v="0"/>
    <x v="0"/>
    <d v="2024-05-10T00:00:00"/>
    <d v="2024-10-28T00:00:00"/>
    <n v="102"/>
    <n v="4.0999999999999996"/>
    <n v="0"/>
    <x v="0"/>
    <x v="0"/>
    <x v="202"/>
  </r>
  <r>
    <n v="739"/>
    <x v="738"/>
    <x v="33"/>
    <x v="1"/>
    <x v="0"/>
    <d v="2022-05-15T00:00:00"/>
    <d v="2022-12-11T00:00:00"/>
    <n v="87"/>
    <n v="1.5"/>
    <n v="1"/>
    <x v="1"/>
    <x v="7"/>
    <x v="395"/>
  </r>
  <r>
    <n v="740"/>
    <x v="739"/>
    <x v="21"/>
    <x v="1"/>
    <x v="1"/>
    <d v="2022-06-02T00:00:00"/>
    <d v="2022-09-10T00:00:00"/>
    <n v="375"/>
    <n v="1.2"/>
    <n v="0"/>
    <x v="0"/>
    <x v="8"/>
    <x v="537"/>
  </r>
  <r>
    <n v="741"/>
    <x v="740"/>
    <x v="45"/>
    <x v="0"/>
    <x v="0"/>
    <d v="2023-12-12T00:00:00"/>
    <d v="2024-07-24T00:00:00"/>
    <n v="279"/>
    <n v="2.2999999999999998"/>
    <n v="1"/>
    <x v="1"/>
    <x v="21"/>
    <x v="107"/>
  </r>
  <r>
    <n v="742"/>
    <x v="741"/>
    <x v="28"/>
    <x v="1"/>
    <x v="0"/>
    <d v="2024-01-08T00:00:00"/>
    <d v="2024-02-08T00:00:00"/>
    <n v="10"/>
    <n v="2.2999999999999998"/>
    <n v="1"/>
    <x v="1"/>
    <x v="6"/>
    <x v="538"/>
  </r>
  <r>
    <n v="743"/>
    <x v="742"/>
    <x v="29"/>
    <x v="1"/>
    <x v="1"/>
    <d v="2023-02-27T00:00:00"/>
    <d v="2024-01-12T00:00:00"/>
    <n v="164"/>
    <n v="4.5"/>
    <n v="1"/>
    <x v="1"/>
    <x v="20"/>
    <x v="539"/>
  </r>
  <r>
    <n v="744"/>
    <x v="743"/>
    <x v="6"/>
    <x v="1"/>
    <x v="0"/>
    <d v="2023-07-22T00:00:00"/>
    <d v="2024-06-13T00:00:00"/>
    <n v="199"/>
    <n v="1.6"/>
    <n v="0"/>
    <x v="0"/>
    <x v="2"/>
    <x v="131"/>
  </r>
  <r>
    <n v="745"/>
    <x v="744"/>
    <x v="20"/>
    <x v="1"/>
    <x v="1"/>
    <d v="2024-06-08T00:00:00"/>
    <d v="2025-02-04T00:00:00"/>
    <n v="394"/>
    <n v="1.6"/>
    <n v="0"/>
    <x v="0"/>
    <x v="29"/>
    <x v="540"/>
  </r>
  <r>
    <n v="746"/>
    <x v="745"/>
    <x v="17"/>
    <x v="0"/>
    <x v="1"/>
    <d v="2023-03-08T00:00:00"/>
    <d v="2023-10-17T00:00:00"/>
    <n v="105"/>
    <n v="1.8"/>
    <n v="1"/>
    <x v="1"/>
    <x v="24"/>
    <x v="368"/>
  </r>
  <r>
    <n v="747"/>
    <x v="746"/>
    <x v="44"/>
    <x v="0"/>
    <x v="0"/>
    <d v="2024-05-11T00:00:00"/>
    <d v="2025-01-10T00:00:00"/>
    <n v="460"/>
    <n v="1.9"/>
    <n v="1"/>
    <x v="1"/>
    <x v="0"/>
    <x v="532"/>
  </r>
  <r>
    <n v="748"/>
    <x v="747"/>
    <x v="11"/>
    <x v="1"/>
    <x v="1"/>
    <d v="2023-12-14T00:00:00"/>
    <d v="2024-05-19T00:00:00"/>
    <n v="210"/>
    <n v="3.3"/>
    <n v="0"/>
    <x v="0"/>
    <x v="21"/>
    <x v="541"/>
  </r>
  <r>
    <n v="749"/>
    <x v="748"/>
    <x v="17"/>
    <x v="0"/>
    <x v="1"/>
    <d v="2023-04-03T00:00:00"/>
    <d v="2023-07-20T00:00:00"/>
    <n v="317"/>
    <n v="1.3"/>
    <n v="1"/>
    <x v="1"/>
    <x v="3"/>
    <x v="542"/>
  </r>
  <r>
    <n v="750"/>
    <x v="749"/>
    <x v="46"/>
    <x v="0"/>
    <x v="2"/>
    <d v="2024-05-28T00:00:00"/>
    <d v="2024-10-09T00:00:00"/>
    <n v="210"/>
    <n v="3.6"/>
    <n v="0"/>
    <x v="0"/>
    <x v="0"/>
    <x v="543"/>
  </r>
  <r>
    <n v="751"/>
    <x v="750"/>
    <x v="6"/>
    <x v="1"/>
    <x v="1"/>
    <d v="2022-11-21T00:00:00"/>
    <d v="2023-05-23T00:00:00"/>
    <n v="2"/>
    <n v="3.8"/>
    <n v="0"/>
    <x v="0"/>
    <x v="25"/>
    <x v="160"/>
  </r>
  <r>
    <n v="752"/>
    <x v="751"/>
    <x v="43"/>
    <x v="0"/>
    <x v="0"/>
    <d v="2023-04-25T00:00:00"/>
    <d v="2023-05-31T00:00:00"/>
    <n v="32"/>
    <n v="4.8"/>
    <n v="0"/>
    <x v="0"/>
    <x v="3"/>
    <x v="544"/>
  </r>
  <r>
    <n v="753"/>
    <x v="752"/>
    <x v="33"/>
    <x v="0"/>
    <x v="2"/>
    <d v="2023-02-20T00:00:00"/>
    <d v="2023-12-31T00:00:00"/>
    <n v="149"/>
    <n v="4.3"/>
    <n v="1"/>
    <x v="1"/>
    <x v="20"/>
    <x v="275"/>
  </r>
  <r>
    <n v="754"/>
    <x v="753"/>
    <x v="37"/>
    <x v="1"/>
    <x v="2"/>
    <d v="2022-09-23T00:00:00"/>
    <d v="2023-08-08T00:00:00"/>
    <n v="67"/>
    <n v="3.2"/>
    <n v="0"/>
    <x v="0"/>
    <x v="14"/>
    <x v="342"/>
  </r>
  <r>
    <n v="755"/>
    <x v="754"/>
    <x v="14"/>
    <x v="0"/>
    <x v="2"/>
    <d v="2023-07-28T00:00:00"/>
    <d v="2024-05-02T00:00:00"/>
    <n v="239"/>
    <n v="1.7"/>
    <n v="1"/>
    <x v="1"/>
    <x v="2"/>
    <x v="545"/>
  </r>
  <r>
    <n v="756"/>
    <x v="755"/>
    <x v="9"/>
    <x v="0"/>
    <x v="0"/>
    <d v="2023-11-20T00:00:00"/>
    <d v="2024-06-20T00:00:00"/>
    <n v="156"/>
    <n v="2.4"/>
    <n v="0"/>
    <x v="0"/>
    <x v="19"/>
    <x v="94"/>
  </r>
  <r>
    <n v="757"/>
    <x v="756"/>
    <x v="21"/>
    <x v="0"/>
    <x v="0"/>
    <d v="2023-07-28T00:00:00"/>
    <d v="2023-12-04T00:00:00"/>
    <n v="253"/>
    <n v="2.1"/>
    <n v="1"/>
    <x v="1"/>
    <x v="2"/>
    <x v="495"/>
  </r>
  <r>
    <n v="758"/>
    <x v="757"/>
    <x v="32"/>
    <x v="0"/>
    <x v="2"/>
    <d v="2022-04-21T00:00:00"/>
    <d v="2023-03-03T00:00:00"/>
    <n v="42"/>
    <n v="4"/>
    <n v="1"/>
    <x v="1"/>
    <x v="1"/>
    <x v="546"/>
  </r>
  <r>
    <n v="759"/>
    <x v="758"/>
    <x v="25"/>
    <x v="1"/>
    <x v="1"/>
    <d v="2023-11-26T00:00:00"/>
    <d v="2024-08-14T00:00:00"/>
    <n v="249"/>
    <n v="4"/>
    <n v="0"/>
    <x v="0"/>
    <x v="19"/>
    <x v="547"/>
  </r>
  <r>
    <n v="760"/>
    <x v="759"/>
    <x v="14"/>
    <x v="0"/>
    <x v="2"/>
    <d v="2023-03-21T00:00:00"/>
    <d v="2023-09-27T00:00:00"/>
    <n v="262"/>
    <n v="1.1000000000000001"/>
    <n v="1"/>
    <x v="1"/>
    <x v="24"/>
    <x v="548"/>
  </r>
  <r>
    <n v="761"/>
    <x v="760"/>
    <x v="46"/>
    <x v="0"/>
    <x v="1"/>
    <d v="2023-12-13T00:00:00"/>
    <d v="2024-04-01T00:00:00"/>
    <n v="425"/>
    <n v="2.8"/>
    <n v="1"/>
    <x v="1"/>
    <x v="21"/>
    <x v="459"/>
  </r>
  <r>
    <n v="762"/>
    <x v="761"/>
    <x v="17"/>
    <x v="1"/>
    <x v="1"/>
    <d v="2022-08-20T00:00:00"/>
    <d v="2022-12-31T00:00:00"/>
    <n v="268"/>
    <n v="2.9"/>
    <n v="1"/>
    <x v="1"/>
    <x v="26"/>
    <x v="236"/>
  </r>
  <r>
    <n v="763"/>
    <x v="762"/>
    <x v="45"/>
    <x v="1"/>
    <x v="1"/>
    <d v="2024-05-15T00:00:00"/>
    <d v="2024-07-21T00:00:00"/>
    <n v="246"/>
    <n v="1.9"/>
    <n v="1"/>
    <x v="1"/>
    <x v="0"/>
    <x v="309"/>
  </r>
  <r>
    <n v="764"/>
    <x v="763"/>
    <x v="28"/>
    <x v="1"/>
    <x v="1"/>
    <d v="2023-09-21T00:00:00"/>
    <d v="2024-02-19T00:00:00"/>
    <n v="69"/>
    <n v="2"/>
    <n v="1"/>
    <x v="1"/>
    <x v="12"/>
    <x v="38"/>
  </r>
  <r>
    <n v="765"/>
    <x v="764"/>
    <x v="46"/>
    <x v="0"/>
    <x v="1"/>
    <d v="2022-08-04T00:00:00"/>
    <d v="2022-10-26T00:00:00"/>
    <n v="424"/>
    <n v="2.5"/>
    <n v="0"/>
    <x v="0"/>
    <x v="26"/>
    <x v="315"/>
  </r>
  <r>
    <n v="766"/>
    <x v="765"/>
    <x v="13"/>
    <x v="0"/>
    <x v="0"/>
    <d v="2023-02-28T00:00:00"/>
    <d v="2023-10-27T00:00:00"/>
    <n v="144"/>
    <n v="1.2"/>
    <n v="1"/>
    <x v="1"/>
    <x v="20"/>
    <x v="531"/>
  </r>
  <r>
    <n v="767"/>
    <x v="766"/>
    <x v="10"/>
    <x v="1"/>
    <x v="0"/>
    <d v="2022-10-27T00:00:00"/>
    <d v="2023-07-18T00:00:00"/>
    <n v="228"/>
    <n v="4.2"/>
    <n v="0"/>
    <x v="0"/>
    <x v="18"/>
    <x v="549"/>
  </r>
  <r>
    <n v="768"/>
    <x v="767"/>
    <x v="23"/>
    <x v="0"/>
    <x v="0"/>
    <d v="2023-04-24T00:00:00"/>
    <d v="2024-03-23T00:00:00"/>
    <n v="372"/>
    <n v="1.6"/>
    <n v="1"/>
    <x v="1"/>
    <x v="3"/>
    <x v="448"/>
  </r>
  <r>
    <n v="769"/>
    <x v="768"/>
    <x v="21"/>
    <x v="0"/>
    <x v="1"/>
    <d v="2024-05-26T00:00:00"/>
    <d v="2024-10-04T00:00:00"/>
    <n v="2"/>
    <n v="4.9000000000000004"/>
    <n v="1"/>
    <x v="1"/>
    <x v="0"/>
    <x v="550"/>
  </r>
  <r>
    <n v="770"/>
    <x v="769"/>
    <x v="42"/>
    <x v="1"/>
    <x v="1"/>
    <d v="2022-07-31T00:00:00"/>
    <d v="2023-07-26T00:00:00"/>
    <n v="60"/>
    <n v="2.5"/>
    <n v="1"/>
    <x v="1"/>
    <x v="28"/>
    <x v="511"/>
  </r>
  <r>
    <n v="771"/>
    <x v="770"/>
    <x v="39"/>
    <x v="0"/>
    <x v="2"/>
    <d v="2023-09-24T00:00:00"/>
    <d v="2024-06-19T00:00:00"/>
    <n v="159"/>
    <n v="3.5"/>
    <n v="1"/>
    <x v="1"/>
    <x v="12"/>
    <x v="551"/>
  </r>
  <r>
    <n v="772"/>
    <x v="771"/>
    <x v="28"/>
    <x v="0"/>
    <x v="2"/>
    <d v="2023-12-01T00:00:00"/>
    <d v="2024-01-28T00:00:00"/>
    <n v="295"/>
    <n v="4.7"/>
    <n v="0"/>
    <x v="0"/>
    <x v="21"/>
    <x v="552"/>
  </r>
  <r>
    <n v="773"/>
    <x v="772"/>
    <x v="39"/>
    <x v="1"/>
    <x v="1"/>
    <d v="2023-10-02T00:00:00"/>
    <d v="2024-08-04T00:00:00"/>
    <n v="435"/>
    <n v="4.9000000000000004"/>
    <n v="0"/>
    <x v="0"/>
    <x v="27"/>
    <x v="431"/>
  </r>
  <r>
    <n v="774"/>
    <x v="773"/>
    <x v="41"/>
    <x v="0"/>
    <x v="0"/>
    <d v="2023-08-25T00:00:00"/>
    <d v="2023-11-06T00:00:00"/>
    <n v="50"/>
    <n v="2.7"/>
    <n v="1"/>
    <x v="1"/>
    <x v="11"/>
    <x v="553"/>
  </r>
  <r>
    <n v="775"/>
    <x v="774"/>
    <x v="19"/>
    <x v="0"/>
    <x v="0"/>
    <d v="2022-02-06T00:00:00"/>
    <d v="2022-08-09T00:00:00"/>
    <n v="277"/>
    <n v="4.7"/>
    <n v="1"/>
    <x v="1"/>
    <x v="15"/>
    <x v="554"/>
  </r>
  <r>
    <n v="776"/>
    <x v="775"/>
    <x v="46"/>
    <x v="0"/>
    <x v="0"/>
    <d v="2022-08-27T00:00:00"/>
    <d v="2023-05-02T00:00:00"/>
    <n v="147"/>
    <n v="2.6"/>
    <n v="0"/>
    <x v="0"/>
    <x v="26"/>
    <x v="555"/>
  </r>
  <r>
    <n v="777"/>
    <x v="776"/>
    <x v="31"/>
    <x v="0"/>
    <x v="2"/>
    <d v="2022-05-05T00:00:00"/>
    <d v="2022-06-23T00:00:00"/>
    <n v="317"/>
    <n v="2"/>
    <n v="1"/>
    <x v="1"/>
    <x v="7"/>
    <x v="381"/>
  </r>
  <r>
    <n v="778"/>
    <x v="777"/>
    <x v="19"/>
    <x v="1"/>
    <x v="2"/>
    <d v="2024-05-08T00:00:00"/>
    <d v="2024-10-23T00:00:00"/>
    <n v="207"/>
    <n v="4.5999999999999996"/>
    <n v="1"/>
    <x v="1"/>
    <x v="0"/>
    <x v="387"/>
  </r>
  <r>
    <n v="779"/>
    <x v="778"/>
    <x v="47"/>
    <x v="0"/>
    <x v="2"/>
    <d v="2024-02-15T00:00:00"/>
    <d v="2024-06-03T00:00:00"/>
    <n v="121"/>
    <n v="2.7"/>
    <n v="1"/>
    <x v="1"/>
    <x v="4"/>
    <x v="556"/>
  </r>
  <r>
    <n v="780"/>
    <x v="779"/>
    <x v="39"/>
    <x v="0"/>
    <x v="1"/>
    <d v="2024-05-14T00:00:00"/>
    <d v="2024-07-18T00:00:00"/>
    <n v="62"/>
    <n v="3.3"/>
    <n v="0"/>
    <x v="0"/>
    <x v="0"/>
    <x v="226"/>
  </r>
  <r>
    <n v="781"/>
    <x v="780"/>
    <x v="11"/>
    <x v="1"/>
    <x v="1"/>
    <d v="2023-05-22T00:00:00"/>
    <d v="2023-08-28T00:00:00"/>
    <n v="443"/>
    <n v="4.2"/>
    <n v="0"/>
    <x v="0"/>
    <x v="16"/>
    <x v="557"/>
  </r>
  <r>
    <n v="782"/>
    <x v="781"/>
    <x v="38"/>
    <x v="0"/>
    <x v="0"/>
    <d v="2023-12-31T00:00:00"/>
    <d v="2024-09-18T00:00:00"/>
    <n v="264"/>
    <n v="4.8"/>
    <n v="1"/>
    <x v="1"/>
    <x v="21"/>
    <x v="558"/>
  </r>
  <r>
    <n v="783"/>
    <x v="782"/>
    <x v="1"/>
    <x v="1"/>
    <x v="2"/>
    <d v="2022-10-26T00:00:00"/>
    <d v="2023-07-01T00:00:00"/>
    <n v="149"/>
    <n v="1.4"/>
    <n v="0"/>
    <x v="0"/>
    <x v="18"/>
    <x v="71"/>
  </r>
  <r>
    <n v="784"/>
    <x v="783"/>
    <x v="36"/>
    <x v="0"/>
    <x v="1"/>
    <d v="2024-04-11T00:00:00"/>
    <d v="2025-02-17T00:00:00"/>
    <n v="399"/>
    <n v="2.7"/>
    <n v="0"/>
    <x v="0"/>
    <x v="13"/>
    <x v="559"/>
  </r>
  <r>
    <n v="785"/>
    <x v="784"/>
    <x v="9"/>
    <x v="0"/>
    <x v="1"/>
    <d v="2022-12-24T00:00:00"/>
    <d v="2023-07-27T00:00:00"/>
    <n v="20"/>
    <n v="3.5"/>
    <n v="0"/>
    <x v="0"/>
    <x v="23"/>
    <x v="304"/>
  </r>
  <r>
    <n v="786"/>
    <x v="785"/>
    <x v="6"/>
    <x v="1"/>
    <x v="1"/>
    <d v="2022-07-30T00:00:00"/>
    <d v="2022-11-03T00:00:00"/>
    <n v="493"/>
    <n v="4.2"/>
    <n v="1"/>
    <x v="1"/>
    <x v="28"/>
    <x v="560"/>
  </r>
  <r>
    <n v="787"/>
    <x v="786"/>
    <x v="12"/>
    <x v="1"/>
    <x v="2"/>
    <d v="2024-05-29T00:00:00"/>
    <d v="2024-11-07T00:00:00"/>
    <n v="331"/>
    <n v="3.3"/>
    <n v="1"/>
    <x v="1"/>
    <x v="0"/>
    <x v="561"/>
  </r>
  <r>
    <n v="788"/>
    <x v="787"/>
    <x v="1"/>
    <x v="0"/>
    <x v="2"/>
    <d v="2024-02-18T00:00:00"/>
    <d v="2024-05-30T00:00:00"/>
    <n v="385"/>
    <n v="3.4"/>
    <n v="1"/>
    <x v="1"/>
    <x v="4"/>
    <x v="562"/>
  </r>
  <r>
    <n v="789"/>
    <x v="788"/>
    <x v="2"/>
    <x v="0"/>
    <x v="2"/>
    <d v="2024-03-20T00:00:00"/>
    <d v="2025-03-03T00:00:00"/>
    <n v="261"/>
    <n v="3.9"/>
    <n v="0"/>
    <x v="0"/>
    <x v="9"/>
    <x v="563"/>
  </r>
  <r>
    <n v="790"/>
    <x v="789"/>
    <x v="45"/>
    <x v="1"/>
    <x v="2"/>
    <d v="2023-11-25T00:00:00"/>
    <d v="2024-02-11T00:00:00"/>
    <n v="97"/>
    <n v="1.6"/>
    <n v="0"/>
    <x v="0"/>
    <x v="19"/>
    <x v="104"/>
  </r>
  <r>
    <n v="791"/>
    <x v="790"/>
    <x v="47"/>
    <x v="1"/>
    <x v="0"/>
    <d v="2023-02-07T00:00:00"/>
    <d v="2023-11-22T00:00:00"/>
    <n v="119"/>
    <n v="1.3"/>
    <n v="0"/>
    <x v="0"/>
    <x v="20"/>
    <x v="564"/>
  </r>
  <r>
    <n v="792"/>
    <x v="791"/>
    <x v="6"/>
    <x v="1"/>
    <x v="2"/>
    <d v="2023-01-05T00:00:00"/>
    <d v="2023-07-04T00:00:00"/>
    <n v="154"/>
    <n v="1.1000000000000001"/>
    <n v="0"/>
    <x v="0"/>
    <x v="10"/>
    <x v="565"/>
  </r>
  <r>
    <n v="793"/>
    <x v="792"/>
    <x v="6"/>
    <x v="0"/>
    <x v="2"/>
    <d v="2023-08-28T00:00:00"/>
    <d v="2024-07-21T00:00:00"/>
    <n v="326"/>
    <n v="1.9"/>
    <n v="1"/>
    <x v="1"/>
    <x v="11"/>
    <x v="309"/>
  </r>
  <r>
    <n v="794"/>
    <x v="793"/>
    <x v="6"/>
    <x v="1"/>
    <x v="0"/>
    <d v="2022-02-11T00:00:00"/>
    <d v="2023-01-27T00:00:00"/>
    <n v="439"/>
    <n v="2.6"/>
    <n v="0"/>
    <x v="0"/>
    <x v="15"/>
    <x v="173"/>
  </r>
  <r>
    <n v="795"/>
    <x v="794"/>
    <x v="25"/>
    <x v="1"/>
    <x v="2"/>
    <d v="2023-08-24T00:00:00"/>
    <d v="2024-03-17T00:00:00"/>
    <n v="108"/>
    <n v="3.4"/>
    <n v="0"/>
    <x v="0"/>
    <x v="11"/>
    <x v="194"/>
  </r>
  <r>
    <n v="796"/>
    <x v="795"/>
    <x v="8"/>
    <x v="1"/>
    <x v="0"/>
    <d v="2022-08-13T00:00:00"/>
    <d v="2022-08-24T00:00:00"/>
    <n v="239"/>
    <n v="2.8"/>
    <n v="0"/>
    <x v="0"/>
    <x v="26"/>
    <x v="166"/>
  </r>
  <r>
    <n v="797"/>
    <x v="796"/>
    <x v="0"/>
    <x v="0"/>
    <x v="0"/>
    <d v="2022-02-23T00:00:00"/>
    <d v="2022-09-27T00:00:00"/>
    <n v="52"/>
    <n v="2.2999999999999998"/>
    <n v="0"/>
    <x v="0"/>
    <x v="15"/>
    <x v="566"/>
  </r>
  <r>
    <n v="798"/>
    <x v="797"/>
    <x v="28"/>
    <x v="1"/>
    <x v="0"/>
    <d v="2022-06-19T00:00:00"/>
    <d v="2023-02-11T00:00:00"/>
    <n v="254"/>
    <n v="4.5"/>
    <n v="0"/>
    <x v="0"/>
    <x v="8"/>
    <x v="528"/>
  </r>
  <r>
    <n v="799"/>
    <x v="798"/>
    <x v="31"/>
    <x v="0"/>
    <x v="0"/>
    <d v="2022-06-12T00:00:00"/>
    <d v="2022-08-15T00:00:00"/>
    <n v="79"/>
    <n v="2.6"/>
    <n v="0"/>
    <x v="0"/>
    <x v="8"/>
    <x v="392"/>
  </r>
  <r>
    <n v="800"/>
    <x v="799"/>
    <x v="12"/>
    <x v="0"/>
    <x v="0"/>
    <d v="2022-01-12T00:00:00"/>
    <d v="2022-07-28T00:00:00"/>
    <n v="479"/>
    <n v="2.4"/>
    <n v="1"/>
    <x v="1"/>
    <x v="22"/>
    <x v="474"/>
  </r>
  <r>
    <n v="801"/>
    <x v="800"/>
    <x v="30"/>
    <x v="0"/>
    <x v="0"/>
    <d v="2024-01-25T00:00:00"/>
    <d v="2024-12-30T00:00:00"/>
    <n v="23"/>
    <n v="5"/>
    <n v="0"/>
    <x v="0"/>
    <x v="6"/>
    <x v="567"/>
  </r>
  <r>
    <n v="802"/>
    <x v="801"/>
    <x v="22"/>
    <x v="1"/>
    <x v="0"/>
    <d v="2023-10-01T00:00:00"/>
    <d v="2024-02-11T00:00:00"/>
    <n v="164"/>
    <n v="4.0999999999999996"/>
    <n v="0"/>
    <x v="0"/>
    <x v="27"/>
    <x v="104"/>
  </r>
  <r>
    <n v="803"/>
    <x v="802"/>
    <x v="3"/>
    <x v="1"/>
    <x v="1"/>
    <d v="2022-07-26T00:00:00"/>
    <d v="2022-07-31T00:00:00"/>
    <n v="463"/>
    <n v="3.1"/>
    <n v="1"/>
    <x v="1"/>
    <x v="28"/>
    <x v="568"/>
  </r>
  <r>
    <n v="804"/>
    <x v="803"/>
    <x v="29"/>
    <x v="1"/>
    <x v="2"/>
    <d v="2024-03-26T00:00:00"/>
    <d v="2024-11-11T00:00:00"/>
    <n v="89"/>
    <n v="4"/>
    <n v="1"/>
    <x v="1"/>
    <x v="9"/>
    <x v="183"/>
  </r>
  <r>
    <n v="805"/>
    <x v="804"/>
    <x v="13"/>
    <x v="0"/>
    <x v="2"/>
    <d v="2024-03-13T00:00:00"/>
    <d v="2024-07-15T00:00:00"/>
    <n v="397"/>
    <n v="1.6"/>
    <n v="1"/>
    <x v="1"/>
    <x v="9"/>
    <x v="95"/>
  </r>
  <r>
    <n v="806"/>
    <x v="805"/>
    <x v="2"/>
    <x v="1"/>
    <x v="0"/>
    <d v="2022-06-29T00:00:00"/>
    <d v="2022-11-01T00:00:00"/>
    <n v="350"/>
    <n v="4.4000000000000004"/>
    <n v="0"/>
    <x v="0"/>
    <x v="8"/>
    <x v="569"/>
  </r>
  <r>
    <n v="807"/>
    <x v="806"/>
    <x v="17"/>
    <x v="0"/>
    <x v="1"/>
    <d v="2023-06-18T00:00:00"/>
    <d v="2023-09-10T00:00:00"/>
    <n v="53"/>
    <n v="3.8"/>
    <n v="1"/>
    <x v="1"/>
    <x v="17"/>
    <x v="501"/>
  </r>
  <r>
    <n v="808"/>
    <x v="807"/>
    <x v="13"/>
    <x v="0"/>
    <x v="1"/>
    <d v="2023-10-14T00:00:00"/>
    <d v="2024-08-05T00:00:00"/>
    <n v="417"/>
    <n v="3.1"/>
    <n v="1"/>
    <x v="1"/>
    <x v="27"/>
    <x v="106"/>
  </r>
  <r>
    <n v="809"/>
    <x v="808"/>
    <x v="23"/>
    <x v="1"/>
    <x v="0"/>
    <d v="2022-08-06T00:00:00"/>
    <d v="2022-08-31T00:00:00"/>
    <n v="243"/>
    <n v="3"/>
    <n v="0"/>
    <x v="0"/>
    <x v="26"/>
    <x v="570"/>
  </r>
  <r>
    <n v="810"/>
    <x v="809"/>
    <x v="7"/>
    <x v="0"/>
    <x v="2"/>
    <d v="2023-12-04T00:00:00"/>
    <d v="2024-11-16T00:00:00"/>
    <n v="1"/>
    <n v="3.5"/>
    <n v="0"/>
    <x v="0"/>
    <x v="21"/>
    <x v="280"/>
  </r>
  <r>
    <n v="811"/>
    <x v="810"/>
    <x v="35"/>
    <x v="1"/>
    <x v="1"/>
    <d v="2022-10-13T00:00:00"/>
    <d v="2023-07-04T00:00:00"/>
    <n v="112"/>
    <n v="1"/>
    <n v="0"/>
    <x v="0"/>
    <x v="18"/>
    <x v="565"/>
  </r>
  <r>
    <n v="812"/>
    <x v="811"/>
    <x v="35"/>
    <x v="0"/>
    <x v="2"/>
    <d v="2024-02-05T00:00:00"/>
    <d v="2024-08-14T00:00:00"/>
    <n v="434"/>
    <n v="3.8"/>
    <n v="0"/>
    <x v="0"/>
    <x v="4"/>
    <x v="547"/>
  </r>
  <r>
    <n v="813"/>
    <x v="812"/>
    <x v="3"/>
    <x v="1"/>
    <x v="2"/>
    <d v="2024-06-14T00:00:00"/>
    <d v="2024-11-28T00:00:00"/>
    <n v="158"/>
    <n v="4.9000000000000004"/>
    <n v="1"/>
    <x v="1"/>
    <x v="29"/>
    <x v="571"/>
  </r>
  <r>
    <n v="814"/>
    <x v="813"/>
    <x v="14"/>
    <x v="0"/>
    <x v="0"/>
    <d v="2022-04-29T00:00:00"/>
    <d v="2022-10-25T00:00:00"/>
    <n v="392"/>
    <n v="1.7"/>
    <n v="1"/>
    <x v="1"/>
    <x v="1"/>
    <x v="408"/>
  </r>
  <r>
    <n v="815"/>
    <x v="814"/>
    <x v="35"/>
    <x v="1"/>
    <x v="1"/>
    <d v="2022-03-28T00:00:00"/>
    <d v="2022-11-02T00:00:00"/>
    <n v="500"/>
    <n v="5"/>
    <n v="1"/>
    <x v="1"/>
    <x v="5"/>
    <x v="572"/>
  </r>
  <r>
    <n v="816"/>
    <x v="815"/>
    <x v="33"/>
    <x v="1"/>
    <x v="2"/>
    <d v="2022-04-10T00:00:00"/>
    <d v="2022-07-14T00:00:00"/>
    <n v="157"/>
    <n v="2.8"/>
    <n v="0"/>
    <x v="0"/>
    <x v="1"/>
    <x v="133"/>
  </r>
  <r>
    <n v="817"/>
    <x v="816"/>
    <x v="16"/>
    <x v="1"/>
    <x v="2"/>
    <d v="2022-10-27T00:00:00"/>
    <d v="2023-10-03T00:00:00"/>
    <n v="158"/>
    <n v="2.5"/>
    <n v="0"/>
    <x v="0"/>
    <x v="18"/>
    <x v="138"/>
  </r>
  <r>
    <n v="818"/>
    <x v="817"/>
    <x v="35"/>
    <x v="0"/>
    <x v="0"/>
    <d v="2023-09-05T00:00:00"/>
    <d v="2024-05-16T00:00:00"/>
    <n v="200"/>
    <n v="4.5999999999999996"/>
    <n v="1"/>
    <x v="1"/>
    <x v="12"/>
    <x v="211"/>
  </r>
  <r>
    <n v="819"/>
    <x v="818"/>
    <x v="32"/>
    <x v="1"/>
    <x v="1"/>
    <d v="2023-05-12T00:00:00"/>
    <d v="2023-11-11T00:00:00"/>
    <n v="195"/>
    <n v="2.1"/>
    <n v="0"/>
    <x v="0"/>
    <x v="16"/>
    <x v="573"/>
  </r>
  <r>
    <n v="820"/>
    <x v="819"/>
    <x v="14"/>
    <x v="1"/>
    <x v="1"/>
    <d v="2022-01-29T00:00:00"/>
    <d v="2022-09-14T00:00:00"/>
    <n v="340"/>
    <n v="3"/>
    <n v="0"/>
    <x v="0"/>
    <x v="22"/>
    <x v="445"/>
  </r>
  <r>
    <n v="821"/>
    <x v="820"/>
    <x v="24"/>
    <x v="1"/>
    <x v="0"/>
    <d v="2022-11-27T00:00:00"/>
    <d v="2023-06-11T00:00:00"/>
    <n v="18"/>
    <n v="4.3"/>
    <n v="0"/>
    <x v="0"/>
    <x v="25"/>
    <x v="105"/>
  </r>
  <r>
    <n v="822"/>
    <x v="821"/>
    <x v="33"/>
    <x v="1"/>
    <x v="1"/>
    <d v="2023-04-20T00:00:00"/>
    <d v="2023-06-03T00:00:00"/>
    <n v="183"/>
    <n v="3"/>
    <n v="0"/>
    <x v="0"/>
    <x v="3"/>
    <x v="524"/>
  </r>
  <r>
    <n v="823"/>
    <x v="822"/>
    <x v="32"/>
    <x v="1"/>
    <x v="2"/>
    <d v="2022-01-27T00:00:00"/>
    <d v="2022-07-22T00:00:00"/>
    <n v="101"/>
    <n v="1.2"/>
    <n v="1"/>
    <x v="1"/>
    <x v="22"/>
    <x v="207"/>
  </r>
  <r>
    <n v="824"/>
    <x v="823"/>
    <x v="11"/>
    <x v="0"/>
    <x v="0"/>
    <d v="2022-03-14T00:00:00"/>
    <d v="2022-07-20T00:00:00"/>
    <n v="475"/>
    <n v="3.4"/>
    <n v="1"/>
    <x v="1"/>
    <x v="5"/>
    <x v="574"/>
  </r>
  <r>
    <n v="825"/>
    <x v="824"/>
    <x v="24"/>
    <x v="0"/>
    <x v="2"/>
    <d v="2024-01-08T00:00:00"/>
    <d v="2024-10-03T00:00:00"/>
    <n v="482"/>
    <n v="2.6"/>
    <n v="1"/>
    <x v="1"/>
    <x v="6"/>
    <x v="575"/>
  </r>
  <r>
    <n v="826"/>
    <x v="825"/>
    <x v="47"/>
    <x v="0"/>
    <x v="0"/>
    <d v="2023-05-17T00:00:00"/>
    <d v="2023-05-20T00:00:00"/>
    <n v="192"/>
    <n v="4.3"/>
    <n v="1"/>
    <x v="1"/>
    <x v="16"/>
    <x v="576"/>
  </r>
  <r>
    <n v="827"/>
    <x v="826"/>
    <x v="16"/>
    <x v="1"/>
    <x v="2"/>
    <d v="2022-08-15T00:00:00"/>
    <d v="2022-10-15T00:00:00"/>
    <n v="315"/>
    <n v="3.7"/>
    <n v="1"/>
    <x v="1"/>
    <x v="26"/>
    <x v="175"/>
  </r>
  <r>
    <n v="828"/>
    <x v="827"/>
    <x v="8"/>
    <x v="1"/>
    <x v="1"/>
    <d v="2024-02-09T00:00:00"/>
    <d v="2025-01-03T00:00:00"/>
    <n v="231"/>
    <n v="4.7"/>
    <n v="0"/>
    <x v="0"/>
    <x v="4"/>
    <x v="577"/>
  </r>
  <r>
    <n v="829"/>
    <x v="828"/>
    <x v="2"/>
    <x v="0"/>
    <x v="0"/>
    <d v="2022-11-16T00:00:00"/>
    <d v="2023-02-25T00:00:00"/>
    <n v="370"/>
    <n v="4"/>
    <n v="0"/>
    <x v="0"/>
    <x v="25"/>
    <x v="446"/>
  </r>
  <r>
    <n v="830"/>
    <x v="829"/>
    <x v="21"/>
    <x v="1"/>
    <x v="2"/>
    <d v="2023-10-02T00:00:00"/>
    <d v="2023-12-21T00:00:00"/>
    <n v="327"/>
    <n v="1.9"/>
    <n v="0"/>
    <x v="0"/>
    <x v="27"/>
    <x v="578"/>
  </r>
  <r>
    <n v="831"/>
    <x v="830"/>
    <x v="31"/>
    <x v="0"/>
    <x v="0"/>
    <d v="2022-10-13T00:00:00"/>
    <d v="2022-11-04T00:00:00"/>
    <n v="399"/>
    <n v="1.1000000000000001"/>
    <n v="1"/>
    <x v="1"/>
    <x v="18"/>
    <x v="39"/>
  </r>
  <r>
    <n v="832"/>
    <x v="831"/>
    <x v="43"/>
    <x v="0"/>
    <x v="0"/>
    <d v="2023-09-28T00:00:00"/>
    <d v="2024-03-20T00:00:00"/>
    <n v="115"/>
    <n v="3.2"/>
    <n v="0"/>
    <x v="0"/>
    <x v="12"/>
    <x v="4"/>
  </r>
  <r>
    <n v="833"/>
    <x v="832"/>
    <x v="14"/>
    <x v="1"/>
    <x v="1"/>
    <d v="2024-01-28T00:00:00"/>
    <d v="2024-12-11T00:00:00"/>
    <n v="351"/>
    <n v="4.2"/>
    <n v="0"/>
    <x v="0"/>
    <x v="6"/>
    <x v="471"/>
  </r>
  <r>
    <n v="834"/>
    <x v="833"/>
    <x v="2"/>
    <x v="1"/>
    <x v="2"/>
    <d v="2022-03-26T00:00:00"/>
    <d v="2022-08-23T00:00:00"/>
    <n v="360"/>
    <n v="3.2"/>
    <n v="1"/>
    <x v="1"/>
    <x v="5"/>
    <x v="579"/>
  </r>
  <r>
    <n v="835"/>
    <x v="834"/>
    <x v="39"/>
    <x v="1"/>
    <x v="1"/>
    <d v="2022-03-19T00:00:00"/>
    <d v="2022-11-30T00:00:00"/>
    <n v="198"/>
    <n v="1.4"/>
    <n v="0"/>
    <x v="0"/>
    <x v="5"/>
    <x v="249"/>
  </r>
  <r>
    <n v="836"/>
    <x v="835"/>
    <x v="32"/>
    <x v="1"/>
    <x v="2"/>
    <d v="2022-12-17T00:00:00"/>
    <d v="2023-03-23T00:00:00"/>
    <n v="150"/>
    <n v="1.9"/>
    <n v="0"/>
    <x v="0"/>
    <x v="23"/>
    <x v="266"/>
  </r>
  <r>
    <n v="837"/>
    <x v="836"/>
    <x v="28"/>
    <x v="0"/>
    <x v="2"/>
    <d v="2022-11-17T00:00:00"/>
    <d v="2023-04-13T00:00:00"/>
    <n v="280"/>
    <n v="1.4"/>
    <n v="1"/>
    <x v="1"/>
    <x v="25"/>
    <x v="310"/>
  </r>
  <r>
    <n v="838"/>
    <x v="837"/>
    <x v="44"/>
    <x v="1"/>
    <x v="0"/>
    <d v="2023-06-17T00:00:00"/>
    <d v="2024-03-11T00:00:00"/>
    <n v="237"/>
    <n v="1.1000000000000001"/>
    <n v="0"/>
    <x v="0"/>
    <x v="17"/>
    <x v="325"/>
  </r>
  <r>
    <n v="839"/>
    <x v="838"/>
    <x v="38"/>
    <x v="1"/>
    <x v="2"/>
    <d v="2023-04-08T00:00:00"/>
    <d v="2024-03-25T00:00:00"/>
    <n v="66"/>
    <n v="1"/>
    <n v="1"/>
    <x v="1"/>
    <x v="3"/>
    <x v="162"/>
  </r>
  <r>
    <n v="840"/>
    <x v="839"/>
    <x v="27"/>
    <x v="1"/>
    <x v="2"/>
    <d v="2022-01-14T00:00:00"/>
    <d v="2022-03-02T00:00:00"/>
    <n v="331"/>
    <n v="1.3"/>
    <n v="0"/>
    <x v="0"/>
    <x v="22"/>
    <x v="580"/>
  </r>
  <r>
    <n v="841"/>
    <x v="840"/>
    <x v="23"/>
    <x v="1"/>
    <x v="1"/>
    <d v="2023-08-13T00:00:00"/>
    <d v="2024-04-04T00:00:00"/>
    <n v="496"/>
    <n v="5"/>
    <n v="1"/>
    <x v="1"/>
    <x v="11"/>
    <x v="581"/>
  </r>
  <r>
    <n v="842"/>
    <x v="841"/>
    <x v="2"/>
    <x v="0"/>
    <x v="0"/>
    <d v="2022-04-05T00:00:00"/>
    <d v="2022-05-12T00:00:00"/>
    <n v="367"/>
    <n v="2.5"/>
    <n v="0"/>
    <x v="0"/>
    <x v="1"/>
    <x v="582"/>
  </r>
  <r>
    <n v="843"/>
    <x v="842"/>
    <x v="28"/>
    <x v="0"/>
    <x v="1"/>
    <d v="2024-06-01T00:00:00"/>
    <d v="2024-11-02T00:00:00"/>
    <n v="307"/>
    <n v="3.2"/>
    <n v="0"/>
    <x v="0"/>
    <x v="29"/>
    <x v="583"/>
  </r>
  <r>
    <n v="844"/>
    <x v="843"/>
    <x v="4"/>
    <x v="0"/>
    <x v="0"/>
    <d v="2022-03-05T00:00:00"/>
    <d v="2022-10-02T00:00:00"/>
    <n v="89"/>
    <n v="2.8"/>
    <n v="1"/>
    <x v="1"/>
    <x v="5"/>
    <x v="584"/>
  </r>
  <r>
    <n v="845"/>
    <x v="844"/>
    <x v="43"/>
    <x v="0"/>
    <x v="2"/>
    <d v="2024-04-19T00:00:00"/>
    <d v="2024-04-20T00:00:00"/>
    <n v="146"/>
    <n v="2.6"/>
    <n v="0"/>
    <x v="0"/>
    <x v="13"/>
    <x v="585"/>
  </r>
  <r>
    <n v="846"/>
    <x v="845"/>
    <x v="7"/>
    <x v="1"/>
    <x v="2"/>
    <d v="2024-05-13T00:00:00"/>
    <d v="2024-12-18T00:00:00"/>
    <n v="348"/>
    <n v="2.9"/>
    <n v="1"/>
    <x v="1"/>
    <x v="0"/>
    <x v="483"/>
  </r>
  <r>
    <n v="847"/>
    <x v="846"/>
    <x v="24"/>
    <x v="1"/>
    <x v="0"/>
    <d v="2022-05-15T00:00:00"/>
    <d v="2022-08-29T00:00:00"/>
    <n v="444"/>
    <n v="2.1"/>
    <n v="0"/>
    <x v="0"/>
    <x v="7"/>
    <x v="586"/>
  </r>
  <r>
    <n v="848"/>
    <x v="847"/>
    <x v="31"/>
    <x v="1"/>
    <x v="0"/>
    <d v="2023-03-07T00:00:00"/>
    <d v="2023-10-09T00:00:00"/>
    <n v="56"/>
    <n v="2.6"/>
    <n v="0"/>
    <x v="0"/>
    <x v="24"/>
    <x v="196"/>
  </r>
  <r>
    <n v="849"/>
    <x v="848"/>
    <x v="27"/>
    <x v="0"/>
    <x v="1"/>
    <d v="2023-12-22T00:00:00"/>
    <d v="2024-05-15T00:00:00"/>
    <n v="135"/>
    <n v="3.6"/>
    <n v="0"/>
    <x v="0"/>
    <x v="21"/>
    <x v="587"/>
  </r>
  <r>
    <n v="850"/>
    <x v="849"/>
    <x v="30"/>
    <x v="1"/>
    <x v="1"/>
    <d v="2023-08-27T00:00:00"/>
    <d v="2023-11-25T00:00:00"/>
    <n v="47"/>
    <n v="1.8"/>
    <n v="0"/>
    <x v="0"/>
    <x v="11"/>
    <x v="457"/>
  </r>
  <r>
    <n v="851"/>
    <x v="850"/>
    <x v="23"/>
    <x v="1"/>
    <x v="1"/>
    <d v="2024-02-14T00:00:00"/>
    <d v="2024-12-13T00:00:00"/>
    <n v="169"/>
    <n v="3.3"/>
    <n v="1"/>
    <x v="1"/>
    <x v="4"/>
    <x v="588"/>
  </r>
  <r>
    <n v="852"/>
    <x v="851"/>
    <x v="4"/>
    <x v="1"/>
    <x v="0"/>
    <d v="2022-02-10T00:00:00"/>
    <d v="2022-11-26T00:00:00"/>
    <n v="52"/>
    <n v="3.5"/>
    <n v="1"/>
    <x v="1"/>
    <x v="15"/>
    <x v="589"/>
  </r>
  <r>
    <n v="853"/>
    <x v="852"/>
    <x v="43"/>
    <x v="1"/>
    <x v="1"/>
    <d v="2024-01-31T00:00:00"/>
    <d v="2024-09-13T00:00:00"/>
    <n v="58"/>
    <n v="4.9000000000000004"/>
    <n v="0"/>
    <x v="0"/>
    <x v="6"/>
    <x v="51"/>
  </r>
  <r>
    <n v="854"/>
    <x v="853"/>
    <x v="32"/>
    <x v="0"/>
    <x v="2"/>
    <d v="2022-02-16T00:00:00"/>
    <d v="2022-03-30T00:00:00"/>
    <n v="83"/>
    <n v="3.3"/>
    <n v="1"/>
    <x v="1"/>
    <x v="15"/>
    <x v="590"/>
  </r>
  <r>
    <n v="855"/>
    <x v="854"/>
    <x v="23"/>
    <x v="0"/>
    <x v="1"/>
    <d v="2022-11-23T00:00:00"/>
    <d v="2023-08-15T00:00:00"/>
    <n v="351"/>
    <n v="1.6"/>
    <n v="1"/>
    <x v="1"/>
    <x v="25"/>
    <x v="83"/>
  </r>
  <r>
    <n v="856"/>
    <x v="855"/>
    <x v="19"/>
    <x v="0"/>
    <x v="0"/>
    <d v="2023-03-26T00:00:00"/>
    <d v="2023-06-20T00:00:00"/>
    <n v="295"/>
    <n v="2.2000000000000002"/>
    <n v="1"/>
    <x v="1"/>
    <x v="24"/>
    <x v="98"/>
  </r>
  <r>
    <n v="857"/>
    <x v="856"/>
    <x v="24"/>
    <x v="0"/>
    <x v="2"/>
    <d v="2023-01-14T00:00:00"/>
    <d v="2023-05-13T00:00:00"/>
    <n v="410"/>
    <n v="1.2"/>
    <n v="1"/>
    <x v="1"/>
    <x v="10"/>
    <x v="591"/>
  </r>
  <r>
    <n v="858"/>
    <x v="857"/>
    <x v="12"/>
    <x v="0"/>
    <x v="1"/>
    <d v="2024-03-13T00:00:00"/>
    <d v="2024-11-17T00:00:00"/>
    <n v="201"/>
    <n v="4.9000000000000004"/>
    <n v="0"/>
    <x v="0"/>
    <x v="9"/>
    <x v="255"/>
  </r>
  <r>
    <n v="859"/>
    <x v="858"/>
    <x v="47"/>
    <x v="0"/>
    <x v="0"/>
    <d v="2022-08-23T00:00:00"/>
    <d v="2022-11-29T00:00:00"/>
    <n v="190"/>
    <n v="2.2999999999999998"/>
    <n v="1"/>
    <x v="1"/>
    <x v="26"/>
    <x v="592"/>
  </r>
  <r>
    <n v="860"/>
    <x v="859"/>
    <x v="13"/>
    <x v="1"/>
    <x v="1"/>
    <d v="2024-03-25T00:00:00"/>
    <d v="2025-03-16T00:00:00"/>
    <n v="268"/>
    <n v="3.9"/>
    <n v="1"/>
    <x v="1"/>
    <x v="9"/>
    <x v="344"/>
  </r>
  <r>
    <n v="861"/>
    <x v="860"/>
    <x v="38"/>
    <x v="1"/>
    <x v="1"/>
    <d v="2024-02-10T00:00:00"/>
    <d v="2024-10-17T00:00:00"/>
    <n v="226"/>
    <n v="1.7"/>
    <n v="0"/>
    <x v="0"/>
    <x v="4"/>
    <x v="593"/>
  </r>
  <r>
    <n v="862"/>
    <x v="861"/>
    <x v="43"/>
    <x v="1"/>
    <x v="0"/>
    <d v="2024-02-17T00:00:00"/>
    <d v="2024-04-27T00:00:00"/>
    <n v="389"/>
    <n v="1.3"/>
    <n v="0"/>
    <x v="0"/>
    <x v="4"/>
    <x v="373"/>
  </r>
  <r>
    <n v="863"/>
    <x v="862"/>
    <x v="14"/>
    <x v="1"/>
    <x v="1"/>
    <d v="2023-03-24T00:00:00"/>
    <d v="2024-01-30T00:00:00"/>
    <n v="451"/>
    <n v="1.5"/>
    <n v="1"/>
    <x v="1"/>
    <x v="24"/>
    <x v="41"/>
  </r>
  <r>
    <n v="864"/>
    <x v="863"/>
    <x v="39"/>
    <x v="0"/>
    <x v="1"/>
    <d v="2023-01-29T00:00:00"/>
    <d v="2023-03-27T00:00:00"/>
    <n v="450"/>
    <n v="3.2"/>
    <n v="1"/>
    <x v="1"/>
    <x v="10"/>
    <x v="594"/>
  </r>
  <r>
    <n v="865"/>
    <x v="864"/>
    <x v="7"/>
    <x v="0"/>
    <x v="2"/>
    <d v="2024-05-02T00:00:00"/>
    <d v="2025-03-07T00:00:00"/>
    <n v="245"/>
    <n v="1"/>
    <n v="0"/>
    <x v="0"/>
    <x v="0"/>
    <x v="533"/>
  </r>
  <r>
    <n v="866"/>
    <x v="865"/>
    <x v="3"/>
    <x v="1"/>
    <x v="2"/>
    <d v="2023-10-14T00:00:00"/>
    <d v="2024-04-19T00:00:00"/>
    <n v="35"/>
    <n v="1.6"/>
    <n v="0"/>
    <x v="0"/>
    <x v="27"/>
    <x v="99"/>
  </r>
  <r>
    <n v="867"/>
    <x v="866"/>
    <x v="37"/>
    <x v="1"/>
    <x v="1"/>
    <d v="2022-06-12T00:00:00"/>
    <d v="2023-02-03T00:00:00"/>
    <n v="290"/>
    <n v="3"/>
    <n v="1"/>
    <x v="1"/>
    <x v="8"/>
    <x v="193"/>
  </r>
  <r>
    <n v="868"/>
    <x v="867"/>
    <x v="3"/>
    <x v="1"/>
    <x v="0"/>
    <d v="2024-04-21T00:00:00"/>
    <d v="2024-06-02T00:00:00"/>
    <n v="368"/>
    <n v="4"/>
    <n v="1"/>
    <x v="1"/>
    <x v="13"/>
    <x v="149"/>
  </r>
  <r>
    <n v="869"/>
    <x v="868"/>
    <x v="46"/>
    <x v="0"/>
    <x v="1"/>
    <d v="2022-03-01T00:00:00"/>
    <d v="2022-07-27T00:00:00"/>
    <n v="402"/>
    <n v="4.7"/>
    <n v="0"/>
    <x v="0"/>
    <x v="5"/>
    <x v="499"/>
  </r>
  <r>
    <n v="870"/>
    <x v="869"/>
    <x v="33"/>
    <x v="1"/>
    <x v="0"/>
    <d v="2022-11-14T00:00:00"/>
    <d v="2023-07-15T00:00:00"/>
    <n v="258"/>
    <n v="1.4"/>
    <n v="1"/>
    <x v="1"/>
    <x v="25"/>
    <x v="595"/>
  </r>
  <r>
    <n v="871"/>
    <x v="870"/>
    <x v="0"/>
    <x v="0"/>
    <x v="1"/>
    <d v="2023-06-27T00:00:00"/>
    <d v="2023-10-09T00:00:00"/>
    <n v="478"/>
    <n v="3.1"/>
    <n v="1"/>
    <x v="1"/>
    <x v="17"/>
    <x v="196"/>
  </r>
  <r>
    <n v="872"/>
    <x v="871"/>
    <x v="8"/>
    <x v="1"/>
    <x v="1"/>
    <d v="2022-11-23T00:00:00"/>
    <d v="2023-04-10T00:00:00"/>
    <n v="155"/>
    <n v="4.5999999999999996"/>
    <n v="0"/>
    <x v="0"/>
    <x v="25"/>
    <x v="596"/>
  </r>
  <r>
    <n v="873"/>
    <x v="872"/>
    <x v="14"/>
    <x v="0"/>
    <x v="0"/>
    <d v="2023-07-02T00:00:00"/>
    <d v="2023-11-28T00:00:00"/>
    <n v="176"/>
    <n v="3.6"/>
    <n v="0"/>
    <x v="0"/>
    <x v="2"/>
    <x v="597"/>
  </r>
  <r>
    <n v="874"/>
    <x v="873"/>
    <x v="17"/>
    <x v="0"/>
    <x v="1"/>
    <d v="2024-01-26T00:00:00"/>
    <d v="2024-11-27T00:00:00"/>
    <n v="247"/>
    <n v="4.5"/>
    <n v="0"/>
    <x v="0"/>
    <x v="6"/>
    <x v="598"/>
  </r>
  <r>
    <n v="875"/>
    <x v="874"/>
    <x v="30"/>
    <x v="1"/>
    <x v="2"/>
    <d v="2022-05-29T00:00:00"/>
    <d v="2023-03-10T00:00:00"/>
    <n v="235"/>
    <n v="3.4"/>
    <n v="1"/>
    <x v="1"/>
    <x v="7"/>
    <x v="599"/>
  </r>
  <r>
    <n v="876"/>
    <x v="875"/>
    <x v="7"/>
    <x v="1"/>
    <x v="2"/>
    <d v="2022-07-18T00:00:00"/>
    <d v="2023-06-30T00:00:00"/>
    <n v="74"/>
    <n v="4.7"/>
    <n v="1"/>
    <x v="1"/>
    <x v="28"/>
    <x v="486"/>
  </r>
  <r>
    <n v="877"/>
    <x v="876"/>
    <x v="42"/>
    <x v="0"/>
    <x v="0"/>
    <d v="2023-03-10T00:00:00"/>
    <d v="2023-12-20T00:00:00"/>
    <n v="436"/>
    <n v="4.5999999999999996"/>
    <n v="1"/>
    <x v="1"/>
    <x v="24"/>
    <x v="600"/>
  </r>
  <r>
    <n v="878"/>
    <x v="877"/>
    <x v="3"/>
    <x v="0"/>
    <x v="1"/>
    <d v="2024-01-15T00:00:00"/>
    <d v="2024-09-30T00:00:00"/>
    <n v="175"/>
    <n v="4"/>
    <n v="0"/>
    <x v="0"/>
    <x v="6"/>
    <x v="601"/>
  </r>
  <r>
    <n v="879"/>
    <x v="878"/>
    <x v="30"/>
    <x v="1"/>
    <x v="2"/>
    <d v="2023-06-18T00:00:00"/>
    <d v="2023-08-16T00:00:00"/>
    <n v="224"/>
    <n v="4.7"/>
    <n v="1"/>
    <x v="1"/>
    <x v="17"/>
    <x v="82"/>
  </r>
  <r>
    <n v="880"/>
    <x v="879"/>
    <x v="5"/>
    <x v="1"/>
    <x v="1"/>
    <d v="2024-03-31T00:00:00"/>
    <d v="2024-12-12T00:00:00"/>
    <n v="385"/>
    <n v="3"/>
    <n v="1"/>
    <x v="1"/>
    <x v="9"/>
    <x v="525"/>
  </r>
  <r>
    <n v="881"/>
    <x v="880"/>
    <x v="22"/>
    <x v="0"/>
    <x v="0"/>
    <d v="2022-04-12T00:00:00"/>
    <d v="2022-12-20T00:00:00"/>
    <n v="429"/>
    <n v="1.3"/>
    <n v="1"/>
    <x v="1"/>
    <x v="1"/>
    <x v="411"/>
  </r>
  <r>
    <n v="882"/>
    <x v="881"/>
    <x v="5"/>
    <x v="1"/>
    <x v="1"/>
    <d v="2022-12-13T00:00:00"/>
    <d v="2023-06-02T00:00:00"/>
    <n v="203"/>
    <n v="4.4000000000000004"/>
    <n v="1"/>
    <x v="1"/>
    <x v="23"/>
    <x v="602"/>
  </r>
  <r>
    <n v="883"/>
    <x v="882"/>
    <x v="27"/>
    <x v="0"/>
    <x v="1"/>
    <d v="2024-04-12T00:00:00"/>
    <d v="2024-08-24T00:00:00"/>
    <n v="21"/>
    <n v="4.4000000000000004"/>
    <n v="1"/>
    <x v="1"/>
    <x v="13"/>
    <x v="181"/>
  </r>
  <r>
    <n v="884"/>
    <x v="883"/>
    <x v="0"/>
    <x v="0"/>
    <x v="2"/>
    <d v="2024-06-03T00:00:00"/>
    <d v="2024-06-21T00:00:00"/>
    <n v="228"/>
    <n v="3.7"/>
    <n v="0"/>
    <x v="0"/>
    <x v="29"/>
    <x v="443"/>
  </r>
  <r>
    <n v="885"/>
    <x v="884"/>
    <x v="35"/>
    <x v="1"/>
    <x v="0"/>
    <d v="2022-04-06T00:00:00"/>
    <d v="2022-08-13T00:00:00"/>
    <n v="213"/>
    <n v="4.0999999999999996"/>
    <n v="1"/>
    <x v="1"/>
    <x v="1"/>
    <x v="441"/>
  </r>
  <r>
    <n v="886"/>
    <x v="885"/>
    <x v="29"/>
    <x v="1"/>
    <x v="2"/>
    <d v="2024-02-18T00:00:00"/>
    <d v="2025-01-24T00:00:00"/>
    <n v="225"/>
    <n v="1"/>
    <n v="0"/>
    <x v="0"/>
    <x v="4"/>
    <x v="603"/>
  </r>
  <r>
    <n v="887"/>
    <x v="886"/>
    <x v="20"/>
    <x v="1"/>
    <x v="0"/>
    <d v="2022-03-30T00:00:00"/>
    <d v="2023-03-16T00:00:00"/>
    <n v="22"/>
    <n v="3.4"/>
    <n v="1"/>
    <x v="1"/>
    <x v="5"/>
    <x v="604"/>
  </r>
  <r>
    <n v="888"/>
    <x v="887"/>
    <x v="12"/>
    <x v="0"/>
    <x v="1"/>
    <d v="2024-04-08T00:00:00"/>
    <d v="2024-06-05T00:00:00"/>
    <n v="357"/>
    <n v="2.1"/>
    <n v="1"/>
    <x v="1"/>
    <x v="13"/>
    <x v="473"/>
  </r>
  <r>
    <n v="889"/>
    <x v="888"/>
    <x v="34"/>
    <x v="1"/>
    <x v="2"/>
    <d v="2022-10-27T00:00:00"/>
    <d v="2023-08-24T00:00:00"/>
    <n v="271"/>
    <n v="4.5999999999999996"/>
    <n v="0"/>
    <x v="0"/>
    <x v="18"/>
    <x v="120"/>
  </r>
  <r>
    <n v="890"/>
    <x v="889"/>
    <x v="24"/>
    <x v="1"/>
    <x v="2"/>
    <d v="2023-12-10T00:00:00"/>
    <d v="2023-12-29T00:00:00"/>
    <n v="494"/>
    <n v="4.7"/>
    <n v="1"/>
    <x v="1"/>
    <x v="21"/>
    <x v="605"/>
  </r>
  <r>
    <n v="891"/>
    <x v="890"/>
    <x v="38"/>
    <x v="1"/>
    <x v="0"/>
    <d v="2023-11-18T00:00:00"/>
    <d v="2024-01-04T00:00:00"/>
    <n v="323"/>
    <n v="2.8"/>
    <n v="0"/>
    <x v="0"/>
    <x v="19"/>
    <x v="412"/>
  </r>
  <r>
    <n v="892"/>
    <x v="891"/>
    <x v="35"/>
    <x v="1"/>
    <x v="0"/>
    <d v="2023-05-04T00:00:00"/>
    <d v="2023-07-25T00:00:00"/>
    <n v="154"/>
    <n v="2.9"/>
    <n v="1"/>
    <x v="1"/>
    <x v="16"/>
    <x v="606"/>
  </r>
  <r>
    <n v="893"/>
    <x v="892"/>
    <x v="6"/>
    <x v="1"/>
    <x v="2"/>
    <d v="2024-05-19T00:00:00"/>
    <d v="2025-02-08T00:00:00"/>
    <n v="26"/>
    <n v="3.2"/>
    <n v="1"/>
    <x v="1"/>
    <x v="0"/>
    <x v="607"/>
  </r>
  <r>
    <n v="894"/>
    <x v="893"/>
    <x v="15"/>
    <x v="1"/>
    <x v="1"/>
    <d v="2022-12-14T00:00:00"/>
    <d v="2022-12-20T00:00:00"/>
    <n v="220"/>
    <n v="2.5"/>
    <n v="0"/>
    <x v="0"/>
    <x v="23"/>
    <x v="411"/>
  </r>
  <r>
    <n v="895"/>
    <x v="894"/>
    <x v="47"/>
    <x v="0"/>
    <x v="0"/>
    <d v="2023-11-17T00:00:00"/>
    <d v="2024-04-21T00:00:00"/>
    <n v="499"/>
    <n v="4.2"/>
    <n v="1"/>
    <x v="1"/>
    <x v="19"/>
    <x v="427"/>
  </r>
  <r>
    <n v="896"/>
    <x v="895"/>
    <x v="33"/>
    <x v="0"/>
    <x v="2"/>
    <d v="2022-07-04T00:00:00"/>
    <d v="2023-03-30T00:00:00"/>
    <n v="456"/>
    <n v="1.3"/>
    <n v="1"/>
    <x v="1"/>
    <x v="28"/>
    <x v="223"/>
  </r>
  <r>
    <n v="897"/>
    <x v="896"/>
    <x v="6"/>
    <x v="1"/>
    <x v="1"/>
    <d v="2022-08-10T00:00:00"/>
    <d v="2023-08-03T00:00:00"/>
    <n v="190"/>
    <n v="2.1"/>
    <n v="1"/>
    <x v="1"/>
    <x v="26"/>
    <x v="153"/>
  </r>
  <r>
    <n v="898"/>
    <x v="897"/>
    <x v="10"/>
    <x v="1"/>
    <x v="2"/>
    <d v="2022-07-15T00:00:00"/>
    <d v="2023-07-06T00:00:00"/>
    <n v="487"/>
    <n v="4.7"/>
    <n v="0"/>
    <x v="0"/>
    <x v="28"/>
    <x v="383"/>
  </r>
  <r>
    <n v="899"/>
    <x v="898"/>
    <x v="26"/>
    <x v="1"/>
    <x v="1"/>
    <d v="2024-05-30T00:00:00"/>
    <d v="2025-01-21T00:00:00"/>
    <n v="123"/>
    <n v="3.4"/>
    <n v="1"/>
    <x v="1"/>
    <x v="0"/>
    <x v="101"/>
  </r>
  <r>
    <n v="900"/>
    <x v="899"/>
    <x v="21"/>
    <x v="0"/>
    <x v="1"/>
    <d v="2022-03-08T00:00:00"/>
    <d v="2023-02-26T00:00:00"/>
    <n v="380"/>
    <n v="2.7"/>
    <n v="1"/>
    <x v="1"/>
    <x v="5"/>
    <x v="26"/>
  </r>
  <r>
    <n v="901"/>
    <x v="900"/>
    <x v="20"/>
    <x v="0"/>
    <x v="0"/>
    <d v="2024-01-29T00:00:00"/>
    <d v="2024-12-22T00:00:00"/>
    <n v="148"/>
    <n v="3.4"/>
    <n v="0"/>
    <x v="0"/>
    <x v="6"/>
    <x v="32"/>
  </r>
  <r>
    <n v="902"/>
    <x v="901"/>
    <x v="22"/>
    <x v="0"/>
    <x v="1"/>
    <d v="2023-03-04T00:00:00"/>
    <d v="2023-06-27T00:00:00"/>
    <n v="170"/>
    <n v="3.8"/>
    <n v="0"/>
    <x v="0"/>
    <x v="24"/>
    <x v="323"/>
  </r>
  <r>
    <n v="903"/>
    <x v="902"/>
    <x v="12"/>
    <x v="1"/>
    <x v="2"/>
    <d v="2023-08-03T00:00:00"/>
    <d v="2023-11-05T00:00:00"/>
    <n v="162"/>
    <n v="3.6"/>
    <n v="0"/>
    <x v="0"/>
    <x v="11"/>
    <x v="608"/>
  </r>
  <r>
    <n v="904"/>
    <x v="903"/>
    <x v="1"/>
    <x v="0"/>
    <x v="1"/>
    <d v="2022-10-03T00:00:00"/>
    <d v="2023-06-20T00:00:00"/>
    <n v="268"/>
    <n v="2.6"/>
    <n v="0"/>
    <x v="0"/>
    <x v="18"/>
    <x v="98"/>
  </r>
  <r>
    <n v="905"/>
    <x v="904"/>
    <x v="11"/>
    <x v="0"/>
    <x v="2"/>
    <d v="2023-06-05T00:00:00"/>
    <d v="2024-01-27T00:00:00"/>
    <n v="474"/>
    <n v="3.6"/>
    <n v="1"/>
    <x v="1"/>
    <x v="17"/>
    <x v="141"/>
  </r>
  <r>
    <n v="906"/>
    <x v="905"/>
    <x v="37"/>
    <x v="1"/>
    <x v="0"/>
    <d v="2023-09-15T00:00:00"/>
    <d v="2023-11-29T00:00:00"/>
    <n v="238"/>
    <n v="3.3"/>
    <n v="1"/>
    <x v="1"/>
    <x v="12"/>
    <x v="401"/>
  </r>
  <r>
    <n v="907"/>
    <x v="906"/>
    <x v="44"/>
    <x v="0"/>
    <x v="0"/>
    <d v="2022-09-01T00:00:00"/>
    <d v="2023-01-13T00:00:00"/>
    <n v="108"/>
    <n v="2.4"/>
    <n v="1"/>
    <x v="1"/>
    <x v="14"/>
    <x v="231"/>
  </r>
  <r>
    <n v="908"/>
    <x v="907"/>
    <x v="33"/>
    <x v="1"/>
    <x v="0"/>
    <d v="2022-12-12T00:00:00"/>
    <d v="2023-12-11T00:00:00"/>
    <n v="311"/>
    <n v="1"/>
    <n v="0"/>
    <x v="0"/>
    <x v="23"/>
    <x v="609"/>
  </r>
  <r>
    <n v="909"/>
    <x v="908"/>
    <x v="8"/>
    <x v="0"/>
    <x v="0"/>
    <d v="2023-02-14T00:00:00"/>
    <d v="2024-01-01T00:00:00"/>
    <n v="350"/>
    <n v="4"/>
    <n v="1"/>
    <x v="1"/>
    <x v="20"/>
    <x v="192"/>
  </r>
  <r>
    <n v="910"/>
    <x v="909"/>
    <x v="15"/>
    <x v="0"/>
    <x v="0"/>
    <d v="2022-01-25T00:00:00"/>
    <d v="2023-01-16T00:00:00"/>
    <n v="43"/>
    <n v="3.3"/>
    <n v="1"/>
    <x v="1"/>
    <x v="22"/>
    <x v="80"/>
  </r>
  <r>
    <n v="911"/>
    <x v="910"/>
    <x v="29"/>
    <x v="1"/>
    <x v="1"/>
    <d v="2023-07-11T00:00:00"/>
    <d v="2023-11-01T00:00:00"/>
    <n v="450"/>
    <n v="3.7"/>
    <n v="0"/>
    <x v="0"/>
    <x v="2"/>
    <x v="355"/>
  </r>
  <r>
    <n v="912"/>
    <x v="911"/>
    <x v="44"/>
    <x v="0"/>
    <x v="1"/>
    <d v="2023-03-30T00:00:00"/>
    <d v="2023-04-30T00:00:00"/>
    <n v="244"/>
    <n v="3.9"/>
    <n v="1"/>
    <x v="1"/>
    <x v="24"/>
    <x v="610"/>
  </r>
  <r>
    <n v="913"/>
    <x v="912"/>
    <x v="4"/>
    <x v="0"/>
    <x v="1"/>
    <d v="2024-04-18T00:00:00"/>
    <d v="2024-12-21T00:00:00"/>
    <n v="47"/>
    <n v="1.5"/>
    <n v="0"/>
    <x v="0"/>
    <x v="13"/>
    <x v="64"/>
  </r>
  <r>
    <n v="914"/>
    <x v="913"/>
    <x v="43"/>
    <x v="0"/>
    <x v="0"/>
    <d v="2023-07-18T00:00:00"/>
    <d v="2024-06-08T00:00:00"/>
    <n v="75"/>
    <n v="4.5999999999999996"/>
    <n v="1"/>
    <x v="1"/>
    <x v="2"/>
    <x v="62"/>
  </r>
  <r>
    <n v="915"/>
    <x v="914"/>
    <x v="19"/>
    <x v="1"/>
    <x v="0"/>
    <d v="2023-03-06T00:00:00"/>
    <d v="2023-08-03T00:00:00"/>
    <n v="466"/>
    <n v="1.4"/>
    <n v="1"/>
    <x v="1"/>
    <x v="24"/>
    <x v="153"/>
  </r>
  <r>
    <n v="916"/>
    <x v="915"/>
    <x v="15"/>
    <x v="0"/>
    <x v="1"/>
    <d v="2024-03-24T00:00:00"/>
    <d v="2024-11-29T00:00:00"/>
    <n v="83"/>
    <n v="3.6"/>
    <n v="1"/>
    <x v="1"/>
    <x v="9"/>
    <x v="611"/>
  </r>
  <r>
    <n v="917"/>
    <x v="916"/>
    <x v="3"/>
    <x v="1"/>
    <x v="1"/>
    <d v="2023-01-18T00:00:00"/>
    <d v="2023-12-12T00:00:00"/>
    <n v="279"/>
    <n v="1.6"/>
    <n v="0"/>
    <x v="0"/>
    <x v="10"/>
    <x v="91"/>
  </r>
  <r>
    <n v="918"/>
    <x v="917"/>
    <x v="43"/>
    <x v="1"/>
    <x v="1"/>
    <d v="2022-02-08T00:00:00"/>
    <d v="2023-01-13T00:00:00"/>
    <n v="60"/>
    <n v="5"/>
    <n v="1"/>
    <x v="1"/>
    <x v="15"/>
    <x v="231"/>
  </r>
  <r>
    <n v="919"/>
    <x v="918"/>
    <x v="13"/>
    <x v="0"/>
    <x v="1"/>
    <d v="2023-04-11T00:00:00"/>
    <d v="2024-01-18T00:00:00"/>
    <n v="325"/>
    <n v="4.4000000000000004"/>
    <n v="1"/>
    <x v="1"/>
    <x v="3"/>
    <x v="612"/>
  </r>
  <r>
    <n v="920"/>
    <x v="919"/>
    <x v="21"/>
    <x v="0"/>
    <x v="2"/>
    <d v="2022-09-11T00:00:00"/>
    <d v="2023-05-20T00:00:00"/>
    <n v="168"/>
    <n v="2"/>
    <n v="1"/>
    <x v="1"/>
    <x v="14"/>
    <x v="576"/>
  </r>
  <r>
    <n v="921"/>
    <x v="920"/>
    <x v="3"/>
    <x v="0"/>
    <x v="1"/>
    <d v="2023-11-19T00:00:00"/>
    <d v="2024-11-03T00:00:00"/>
    <n v="418"/>
    <n v="1.2"/>
    <n v="0"/>
    <x v="0"/>
    <x v="19"/>
    <x v="613"/>
  </r>
  <r>
    <n v="922"/>
    <x v="921"/>
    <x v="40"/>
    <x v="1"/>
    <x v="0"/>
    <d v="2022-01-10T00:00:00"/>
    <d v="2022-01-14T00:00:00"/>
    <n v="444"/>
    <n v="2.6"/>
    <n v="0"/>
    <x v="0"/>
    <x v="22"/>
    <x v="614"/>
  </r>
  <r>
    <n v="923"/>
    <x v="922"/>
    <x v="23"/>
    <x v="1"/>
    <x v="1"/>
    <d v="2022-04-21T00:00:00"/>
    <d v="2022-06-10T00:00:00"/>
    <n v="285"/>
    <n v="3.5"/>
    <n v="1"/>
    <x v="1"/>
    <x v="1"/>
    <x v="615"/>
  </r>
  <r>
    <n v="924"/>
    <x v="923"/>
    <x v="39"/>
    <x v="0"/>
    <x v="0"/>
    <d v="2024-01-19T00:00:00"/>
    <d v="2024-01-27T00:00:00"/>
    <n v="389"/>
    <n v="4.2"/>
    <n v="0"/>
    <x v="0"/>
    <x v="6"/>
    <x v="141"/>
  </r>
  <r>
    <n v="925"/>
    <x v="924"/>
    <x v="5"/>
    <x v="1"/>
    <x v="1"/>
    <d v="2023-11-20T00:00:00"/>
    <d v="2024-02-20T00:00:00"/>
    <n v="6"/>
    <n v="1.5"/>
    <n v="1"/>
    <x v="1"/>
    <x v="19"/>
    <x v="616"/>
  </r>
  <r>
    <n v="926"/>
    <x v="925"/>
    <x v="37"/>
    <x v="0"/>
    <x v="2"/>
    <d v="2024-02-14T00:00:00"/>
    <d v="2024-09-24T00:00:00"/>
    <n v="80"/>
    <n v="4.5"/>
    <n v="0"/>
    <x v="0"/>
    <x v="4"/>
    <x v="617"/>
  </r>
  <r>
    <n v="927"/>
    <x v="926"/>
    <x v="34"/>
    <x v="1"/>
    <x v="1"/>
    <d v="2022-07-24T00:00:00"/>
    <d v="2022-12-18T00:00:00"/>
    <n v="473"/>
    <n v="2.8"/>
    <n v="0"/>
    <x v="0"/>
    <x v="28"/>
    <x v="390"/>
  </r>
  <r>
    <n v="928"/>
    <x v="927"/>
    <x v="21"/>
    <x v="1"/>
    <x v="2"/>
    <d v="2022-12-29T00:00:00"/>
    <d v="2023-08-07T00:00:00"/>
    <n v="139"/>
    <n v="2.9"/>
    <n v="1"/>
    <x v="1"/>
    <x v="23"/>
    <x v="103"/>
  </r>
  <r>
    <n v="929"/>
    <x v="928"/>
    <x v="8"/>
    <x v="0"/>
    <x v="0"/>
    <d v="2022-07-26T00:00:00"/>
    <d v="2022-10-07T00:00:00"/>
    <n v="202"/>
    <n v="4.2"/>
    <n v="1"/>
    <x v="1"/>
    <x v="28"/>
    <x v="1"/>
  </r>
  <r>
    <n v="930"/>
    <x v="929"/>
    <x v="6"/>
    <x v="1"/>
    <x v="0"/>
    <d v="2022-09-27T00:00:00"/>
    <d v="2022-12-08T00:00:00"/>
    <n v="268"/>
    <n v="2.8"/>
    <n v="1"/>
    <x v="1"/>
    <x v="14"/>
    <x v="618"/>
  </r>
  <r>
    <n v="931"/>
    <x v="930"/>
    <x v="6"/>
    <x v="0"/>
    <x v="2"/>
    <d v="2024-04-12T00:00:00"/>
    <d v="2025-03-08T00:00:00"/>
    <n v="29"/>
    <n v="4"/>
    <n v="0"/>
    <x v="0"/>
    <x v="13"/>
    <x v="619"/>
  </r>
  <r>
    <n v="932"/>
    <x v="931"/>
    <x v="18"/>
    <x v="0"/>
    <x v="0"/>
    <d v="2022-03-25T00:00:00"/>
    <d v="2022-09-08T00:00:00"/>
    <n v="478"/>
    <n v="4.0999999999999996"/>
    <n v="1"/>
    <x v="1"/>
    <x v="5"/>
    <x v="620"/>
  </r>
  <r>
    <n v="933"/>
    <x v="932"/>
    <x v="34"/>
    <x v="1"/>
    <x v="2"/>
    <d v="2022-04-29T00:00:00"/>
    <d v="2023-04-02T00:00:00"/>
    <n v="381"/>
    <n v="3.6"/>
    <n v="0"/>
    <x v="0"/>
    <x v="1"/>
    <x v="375"/>
  </r>
  <r>
    <n v="934"/>
    <x v="933"/>
    <x v="17"/>
    <x v="1"/>
    <x v="0"/>
    <d v="2024-01-09T00:00:00"/>
    <d v="2024-01-17T00:00:00"/>
    <n v="281"/>
    <n v="1.4"/>
    <n v="1"/>
    <x v="1"/>
    <x v="6"/>
    <x v="111"/>
  </r>
  <r>
    <n v="935"/>
    <x v="934"/>
    <x v="30"/>
    <x v="0"/>
    <x v="0"/>
    <d v="2022-08-07T00:00:00"/>
    <d v="2023-02-10T00:00:00"/>
    <n v="394"/>
    <n v="2.1"/>
    <n v="0"/>
    <x v="0"/>
    <x v="26"/>
    <x v="621"/>
  </r>
  <r>
    <n v="936"/>
    <x v="935"/>
    <x v="12"/>
    <x v="0"/>
    <x v="1"/>
    <d v="2022-03-30T00:00:00"/>
    <d v="2023-02-04T00:00:00"/>
    <n v="136"/>
    <n v="3.3"/>
    <n v="1"/>
    <x v="1"/>
    <x v="5"/>
    <x v="298"/>
  </r>
  <r>
    <n v="937"/>
    <x v="936"/>
    <x v="42"/>
    <x v="1"/>
    <x v="0"/>
    <d v="2024-01-10T00:00:00"/>
    <d v="2024-09-07T00:00:00"/>
    <n v="335"/>
    <n v="2.8"/>
    <n v="1"/>
    <x v="1"/>
    <x v="6"/>
    <x v="622"/>
  </r>
  <r>
    <n v="938"/>
    <x v="937"/>
    <x v="19"/>
    <x v="0"/>
    <x v="2"/>
    <d v="2022-08-24T00:00:00"/>
    <d v="2022-09-25T00:00:00"/>
    <n v="145"/>
    <n v="3.2"/>
    <n v="1"/>
    <x v="1"/>
    <x v="26"/>
    <x v="623"/>
  </r>
  <r>
    <n v="939"/>
    <x v="938"/>
    <x v="2"/>
    <x v="0"/>
    <x v="2"/>
    <d v="2024-03-17T00:00:00"/>
    <d v="2025-02-23T00:00:00"/>
    <n v="182"/>
    <n v="4.4000000000000004"/>
    <n v="0"/>
    <x v="0"/>
    <x v="9"/>
    <x v="624"/>
  </r>
  <r>
    <n v="940"/>
    <x v="939"/>
    <x v="35"/>
    <x v="0"/>
    <x v="0"/>
    <d v="2023-07-02T00:00:00"/>
    <d v="2023-09-25T00:00:00"/>
    <n v="171"/>
    <n v="3.7"/>
    <n v="1"/>
    <x v="1"/>
    <x v="2"/>
    <x v="400"/>
  </r>
  <r>
    <n v="941"/>
    <x v="940"/>
    <x v="46"/>
    <x v="1"/>
    <x v="2"/>
    <d v="2022-04-10T00:00:00"/>
    <d v="2023-01-27T00:00:00"/>
    <n v="187"/>
    <n v="1.4"/>
    <n v="0"/>
    <x v="0"/>
    <x v="1"/>
    <x v="173"/>
  </r>
  <r>
    <n v="942"/>
    <x v="941"/>
    <x v="42"/>
    <x v="1"/>
    <x v="1"/>
    <d v="2024-05-19T00:00:00"/>
    <d v="2025-03-09T00:00:00"/>
    <n v="490"/>
    <n v="1.4"/>
    <n v="1"/>
    <x v="1"/>
    <x v="0"/>
    <x v="625"/>
  </r>
  <r>
    <n v="943"/>
    <x v="942"/>
    <x v="24"/>
    <x v="0"/>
    <x v="2"/>
    <d v="2023-10-30T00:00:00"/>
    <d v="2024-08-16T00:00:00"/>
    <n v="169"/>
    <n v="1.3"/>
    <n v="1"/>
    <x v="1"/>
    <x v="27"/>
    <x v="626"/>
  </r>
  <r>
    <n v="944"/>
    <x v="943"/>
    <x v="40"/>
    <x v="1"/>
    <x v="1"/>
    <d v="2024-04-23T00:00:00"/>
    <d v="2025-02-21T00:00:00"/>
    <n v="221"/>
    <n v="3.2"/>
    <n v="0"/>
    <x v="0"/>
    <x v="13"/>
    <x v="627"/>
  </r>
  <r>
    <n v="945"/>
    <x v="944"/>
    <x v="41"/>
    <x v="0"/>
    <x v="0"/>
    <d v="2023-01-01T00:00:00"/>
    <d v="2023-01-05T00:00:00"/>
    <n v="163"/>
    <n v="2"/>
    <n v="1"/>
    <x v="1"/>
    <x v="10"/>
    <x v="398"/>
  </r>
  <r>
    <n v="946"/>
    <x v="945"/>
    <x v="46"/>
    <x v="0"/>
    <x v="0"/>
    <d v="2022-03-27T00:00:00"/>
    <d v="2022-07-26T00:00:00"/>
    <n v="252"/>
    <n v="1.6"/>
    <n v="0"/>
    <x v="0"/>
    <x v="5"/>
    <x v="628"/>
  </r>
  <r>
    <n v="947"/>
    <x v="946"/>
    <x v="22"/>
    <x v="1"/>
    <x v="1"/>
    <d v="2022-08-11T00:00:00"/>
    <d v="2022-11-14T00:00:00"/>
    <n v="285"/>
    <n v="1.7"/>
    <n v="1"/>
    <x v="1"/>
    <x v="26"/>
    <x v="629"/>
  </r>
  <r>
    <n v="948"/>
    <x v="947"/>
    <x v="42"/>
    <x v="0"/>
    <x v="1"/>
    <d v="2023-12-16T00:00:00"/>
    <d v="2024-03-23T00:00:00"/>
    <n v="296"/>
    <n v="3.5"/>
    <n v="1"/>
    <x v="1"/>
    <x v="21"/>
    <x v="448"/>
  </r>
  <r>
    <n v="949"/>
    <x v="948"/>
    <x v="25"/>
    <x v="1"/>
    <x v="2"/>
    <d v="2023-02-25T00:00:00"/>
    <d v="2023-03-13T00:00:00"/>
    <n v="243"/>
    <n v="2.6"/>
    <n v="0"/>
    <x v="0"/>
    <x v="20"/>
    <x v="630"/>
  </r>
  <r>
    <n v="950"/>
    <x v="949"/>
    <x v="21"/>
    <x v="1"/>
    <x v="1"/>
    <d v="2022-05-24T00:00:00"/>
    <d v="2022-07-20T00:00:00"/>
    <n v="62"/>
    <n v="4.4000000000000004"/>
    <n v="0"/>
    <x v="0"/>
    <x v="7"/>
    <x v="574"/>
  </r>
  <r>
    <n v="951"/>
    <x v="950"/>
    <x v="14"/>
    <x v="1"/>
    <x v="2"/>
    <d v="2023-06-23T00:00:00"/>
    <d v="2023-07-05T00:00:00"/>
    <n v="319"/>
    <n v="4"/>
    <n v="1"/>
    <x v="1"/>
    <x v="17"/>
    <x v="631"/>
  </r>
  <r>
    <n v="952"/>
    <x v="951"/>
    <x v="44"/>
    <x v="0"/>
    <x v="0"/>
    <d v="2023-12-28T00:00:00"/>
    <d v="2024-03-30T00:00:00"/>
    <n v="370"/>
    <n v="3.4"/>
    <n v="0"/>
    <x v="0"/>
    <x v="21"/>
    <x v="632"/>
  </r>
  <r>
    <n v="953"/>
    <x v="952"/>
    <x v="34"/>
    <x v="0"/>
    <x v="2"/>
    <d v="2023-11-25T00:00:00"/>
    <d v="2024-01-30T00:00:00"/>
    <n v="81"/>
    <n v="4"/>
    <n v="1"/>
    <x v="1"/>
    <x v="19"/>
    <x v="41"/>
  </r>
  <r>
    <n v="954"/>
    <x v="953"/>
    <x v="36"/>
    <x v="1"/>
    <x v="0"/>
    <d v="2024-04-24T00:00:00"/>
    <d v="2024-10-01T00:00:00"/>
    <n v="9"/>
    <n v="1.7"/>
    <n v="1"/>
    <x v="1"/>
    <x v="13"/>
    <x v="247"/>
  </r>
  <r>
    <n v="955"/>
    <x v="954"/>
    <x v="22"/>
    <x v="1"/>
    <x v="1"/>
    <d v="2022-08-11T00:00:00"/>
    <d v="2022-11-05T00:00:00"/>
    <n v="77"/>
    <n v="1.8"/>
    <n v="0"/>
    <x v="0"/>
    <x v="26"/>
    <x v="424"/>
  </r>
  <r>
    <n v="956"/>
    <x v="955"/>
    <x v="1"/>
    <x v="0"/>
    <x v="1"/>
    <d v="2023-01-12T00:00:00"/>
    <d v="2023-08-04T00:00:00"/>
    <n v="486"/>
    <n v="4.8"/>
    <n v="1"/>
    <x v="1"/>
    <x v="10"/>
    <x v="484"/>
  </r>
  <r>
    <n v="957"/>
    <x v="956"/>
    <x v="44"/>
    <x v="1"/>
    <x v="0"/>
    <d v="2022-03-02T00:00:00"/>
    <d v="2022-10-08T00:00:00"/>
    <n v="471"/>
    <n v="2.1"/>
    <n v="1"/>
    <x v="1"/>
    <x v="5"/>
    <x v="633"/>
  </r>
  <r>
    <n v="958"/>
    <x v="957"/>
    <x v="28"/>
    <x v="0"/>
    <x v="0"/>
    <d v="2022-06-16T00:00:00"/>
    <d v="2022-12-31T00:00:00"/>
    <n v="399"/>
    <n v="4.2"/>
    <n v="1"/>
    <x v="1"/>
    <x v="8"/>
    <x v="236"/>
  </r>
  <r>
    <n v="959"/>
    <x v="958"/>
    <x v="18"/>
    <x v="1"/>
    <x v="1"/>
    <d v="2023-04-28T00:00:00"/>
    <d v="2024-01-04T00:00:00"/>
    <n v="165"/>
    <n v="1.1000000000000001"/>
    <n v="0"/>
    <x v="0"/>
    <x v="3"/>
    <x v="412"/>
  </r>
  <r>
    <n v="960"/>
    <x v="959"/>
    <x v="41"/>
    <x v="1"/>
    <x v="2"/>
    <d v="2023-02-13T00:00:00"/>
    <d v="2023-03-15T00:00:00"/>
    <n v="432"/>
    <n v="3.6"/>
    <n v="0"/>
    <x v="0"/>
    <x v="20"/>
    <x v="634"/>
  </r>
  <r>
    <n v="961"/>
    <x v="960"/>
    <x v="38"/>
    <x v="1"/>
    <x v="2"/>
    <d v="2022-07-04T00:00:00"/>
    <d v="2022-07-11T00:00:00"/>
    <n v="43"/>
    <n v="3.6"/>
    <n v="0"/>
    <x v="0"/>
    <x v="28"/>
    <x v="635"/>
  </r>
  <r>
    <n v="962"/>
    <x v="961"/>
    <x v="23"/>
    <x v="0"/>
    <x v="0"/>
    <d v="2022-08-07T00:00:00"/>
    <d v="2022-10-27T00:00:00"/>
    <n v="215"/>
    <n v="2.7"/>
    <n v="1"/>
    <x v="1"/>
    <x v="26"/>
    <x v="426"/>
  </r>
  <r>
    <n v="963"/>
    <x v="962"/>
    <x v="40"/>
    <x v="1"/>
    <x v="2"/>
    <d v="2023-08-17T00:00:00"/>
    <d v="2024-07-12T00:00:00"/>
    <n v="210"/>
    <n v="4.2"/>
    <n v="0"/>
    <x v="0"/>
    <x v="11"/>
    <x v="636"/>
  </r>
  <r>
    <n v="964"/>
    <x v="963"/>
    <x v="22"/>
    <x v="1"/>
    <x v="0"/>
    <d v="2023-08-28T00:00:00"/>
    <d v="2023-10-31T00:00:00"/>
    <n v="61"/>
    <n v="3.6"/>
    <n v="0"/>
    <x v="0"/>
    <x v="11"/>
    <x v="637"/>
  </r>
  <r>
    <n v="965"/>
    <x v="964"/>
    <x v="2"/>
    <x v="0"/>
    <x v="0"/>
    <d v="2022-12-18T00:00:00"/>
    <d v="2023-01-02T00:00:00"/>
    <n v="446"/>
    <n v="2.2999999999999998"/>
    <n v="1"/>
    <x v="1"/>
    <x v="23"/>
    <x v="295"/>
  </r>
  <r>
    <n v="966"/>
    <x v="965"/>
    <x v="46"/>
    <x v="1"/>
    <x v="0"/>
    <d v="2023-10-13T00:00:00"/>
    <d v="2024-06-20T00:00:00"/>
    <n v="234"/>
    <n v="1.9"/>
    <n v="1"/>
    <x v="1"/>
    <x v="27"/>
    <x v="94"/>
  </r>
  <r>
    <n v="967"/>
    <x v="966"/>
    <x v="2"/>
    <x v="0"/>
    <x v="2"/>
    <d v="2024-04-17T00:00:00"/>
    <d v="2024-08-22T00:00:00"/>
    <n v="216"/>
    <n v="1.5"/>
    <n v="0"/>
    <x v="0"/>
    <x v="13"/>
    <x v="638"/>
  </r>
  <r>
    <n v="968"/>
    <x v="967"/>
    <x v="9"/>
    <x v="0"/>
    <x v="1"/>
    <d v="2024-02-22T00:00:00"/>
    <d v="2024-06-01T00:00:00"/>
    <n v="70"/>
    <n v="1.2"/>
    <n v="1"/>
    <x v="1"/>
    <x v="4"/>
    <x v="639"/>
  </r>
  <r>
    <n v="969"/>
    <x v="968"/>
    <x v="0"/>
    <x v="1"/>
    <x v="2"/>
    <d v="2022-03-11T00:00:00"/>
    <d v="2022-12-13T00:00:00"/>
    <n v="234"/>
    <n v="1.6"/>
    <n v="1"/>
    <x v="1"/>
    <x v="5"/>
    <x v="640"/>
  </r>
  <r>
    <n v="970"/>
    <x v="969"/>
    <x v="35"/>
    <x v="0"/>
    <x v="2"/>
    <d v="2023-11-01T00:00:00"/>
    <d v="2024-04-25T00:00:00"/>
    <n v="491"/>
    <n v="2.6"/>
    <n v="1"/>
    <x v="1"/>
    <x v="19"/>
    <x v="641"/>
  </r>
  <r>
    <n v="971"/>
    <x v="970"/>
    <x v="23"/>
    <x v="0"/>
    <x v="0"/>
    <d v="2024-06-07T00:00:00"/>
    <d v="2024-09-04T00:00:00"/>
    <n v="59"/>
    <n v="2.1"/>
    <n v="1"/>
    <x v="1"/>
    <x v="29"/>
    <x v="642"/>
  </r>
  <r>
    <n v="972"/>
    <x v="971"/>
    <x v="11"/>
    <x v="1"/>
    <x v="2"/>
    <d v="2022-06-04T00:00:00"/>
    <d v="2022-12-13T00:00:00"/>
    <n v="233"/>
    <n v="4.7"/>
    <n v="0"/>
    <x v="0"/>
    <x v="8"/>
    <x v="640"/>
  </r>
  <r>
    <n v="973"/>
    <x v="972"/>
    <x v="28"/>
    <x v="0"/>
    <x v="2"/>
    <d v="2022-12-24T00:00:00"/>
    <d v="2023-05-03T00:00:00"/>
    <n v="209"/>
    <n v="4.3"/>
    <n v="0"/>
    <x v="0"/>
    <x v="23"/>
    <x v="109"/>
  </r>
  <r>
    <n v="974"/>
    <x v="973"/>
    <x v="21"/>
    <x v="1"/>
    <x v="2"/>
    <d v="2024-03-27T00:00:00"/>
    <d v="2024-05-02T00:00:00"/>
    <n v="359"/>
    <n v="3.7"/>
    <n v="1"/>
    <x v="1"/>
    <x v="9"/>
    <x v="545"/>
  </r>
  <r>
    <n v="975"/>
    <x v="974"/>
    <x v="41"/>
    <x v="1"/>
    <x v="1"/>
    <d v="2023-11-22T00:00:00"/>
    <d v="2024-04-05T00:00:00"/>
    <n v="91"/>
    <n v="2.2999999999999998"/>
    <n v="0"/>
    <x v="0"/>
    <x v="19"/>
    <x v="439"/>
  </r>
  <r>
    <n v="976"/>
    <x v="975"/>
    <x v="36"/>
    <x v="0"/>
    <x v="1"/>
    <d v="2023-11-07T00:00:00"/>
    <d v="2024-06-25T00:00:00"/>
    <n v="184"/>
    <n v="4.9000000000000004"/>
    <n v="1"/>
    <x v="1"/>
    <x v="19"/>
    <x v="643"/>
  </r>
  <r>
    <n v="977"/>
    <x v="976"/>
    <x v="44"/>
    <x v="1"/>
    <x v="2"/>
    <d v="2022-12-09T00:00:00"/>
    <d v="2023-07-25T00:00:00"/>
    <n v="203"/>
    <n v="4.5"/>
    <n v="0"/>
    <x v="0"/>
    <x v="23"/>
    <x v="606"/>
  </r>
  <r>
    <n v="978"/>
    <x v="977"/>
    <x v="21"/>
    <x v="0"/>
    <x v="2"/>
    <d v="2023-12-20T00:00:00"/>
    <d v="2024-04-10T00:00:00"/>
    <n v="6"/>
    <n v="2.8"/>
    <n v="1"/>
    <x v="1"/>
    <x v="21"/>
    <x v="644"/>
  </r>
  <r>
    <n v="979"/>
    <x v="978"/>
    <x v="25"/>
    <x v="0"/>
    <x v="0"/>
    <d v="2022-11-17T00:00:00"/>
    <d v="2023-05-23T00:00:00"/>
    <n v="389"/>
    <n v="2.2000000000000002"/>
    <n v="1"/>
    <x v="1"/>
    <x v="25"/>
    <x v="160"/>
  </r>
  <r>
    <n v="980"/>
    <x v="979"/>
    <x v="42"/>
    <x v="0"/>
    <x v="2"/>
    <d v="2023-04-11T00:00:00"/>
    <d v="2023-08-07T00:00:00"/>
    <n v="210"/>
    <n v="2.6"/>
    <n v="1"/>
    <x v="1"/>
    <x v="3"/>
    <x v="103"/>
  </r>
  <r>
    <n v="981"/>
    <x v="980"/>
    <x v="4"/>
    <x v="1"/>
    <x v="2"/>
    <d v="2023-10-19T00:00:00"/>
    <d v="2023-12-14T00:00:00"/>
    <n v="450"/>
    <n v="3.4"/>
    <n v="1"/>
    <x v="1"/>
    <x v="27"/>
    <x v="645"/>
  </r>
  <r>
    <n v="982"/>
    <x v="981"/>
    <x v="27"/>
    <x v="1"/>
    <x v="0"/>
    <d v="2024-01-09T00:00:00"/>
    <d v="2024-04-16T00:00:00"/>
    <n v="44"/>
    <n v="2.7"/>
    <n v="0"/>
    <x v="0"/>
    <x v="6"/>
    <x v="88"/>
  </r>
  <r>
    <n v="983"/>
    <x v="982"/>
    <x v="11"/>
    <x v="1"/>
    <x v="2"/>
    <d v="2022-03-16T00:00:00"/>
    <d v="2022-08-29T00:00:00"/>
    <n v="1"/>
    <n v="1.9"/>
    <n v="1"/>
    <x v="1"/>
    <x v="5"/>
    <x v="586"/>
  </r>
  <r>
    <n v="984"/>
    <x v="983"/>
    <x v="21"/>
    <x v="1"/>
    <x v="2"/>
    <d v="2023-07-27T00:00:00"/>
    <d v="2024-04-01T00:00:00"/>
    <n v="309"/>
    <n v="3.5"/>
    <n v="1"/>
    <x v="1"/>
    <x v="2"/>
    <x v="459"/>
  </r>
  <r>
    <n v="985"/>
    <x v="984"/>
    <x v="31"/>
    <x v="1"/>
    <x v="1"/>
    <d v="2024-02-07T00:00:00"/>
    <d v="2024-08-08T00:00:00"/>
    <n v="161"/>
    <n v="4.5"/>
    <n v="1"/>
    <x v="1"/>
    <x v="4"/>
    <x v="55"/>
  </r>
  <r>
    <n v="986"/>
    <x v="985"/>
    <x v="34"/>
    <x v="0"/>
    <x v="0"/>
    <d v="2023-04-07T00:00:00"/>
    <d v="2023-12-31T00:00:00"/>
    <n v="162"/>
    <n v="2.2000000000000002"/>
    <n v="1"/>
    <x v="1"/>
    <x v="3"/>
    <x v="275"/>
  </r>
  <r>
    <n v="987"/>
    <x v="986"/>
    <x v="43"/>
    <x v="1"/>
    <x v="0"/>
    <d v="2024-05-18T00:00:00"/>
    <d v="2024-12-26T00:00:00"/>
    <n v="35"/>
    <n v="2"/>
    <n v="0"/>
    <x v="0"/>
    <x v="0"/>
    <x v="646"/>
  </r>
  <r>
    <n v="988"/>
    <x v="987"/>
    <x v="47"/>
    <x v="1"/>
    <x v="1"/>
    <d v="2023-02-20T00:00:00"/>
    <d v="2023-08-18T00:00:00"/>
    <n v="86"/>
    <n v="2.1"/>
    <n v="1"/>
    <x v="1"/>
    <x v="20"/>
    <x v="647"/>
  </r>
  <r>
    <n v="989"/>
    <x v="988"/>
    <x v="12"/>
    <x v="0"/>
    <x v="1"/>
    <d v="2022-08-13T00:00:00"/>
    <d v="2022-11-25T00:00:00"/>
    <n v="487"/>
    <n v="3.2"/>
    <n v="0"/>
    <x v="0"/>
    <x v="26"/>
    <x v="648"/>
  </r>
  <r>
    <n v="990"/>
    <x v="989"/>
    <x v="24"/>
    <x v="1"/>
    <x v="2"/>
    <d v="2022-08-10T00:00:00"/>
    <d v="2023-01-02T00:00:00"/>
    <n v="202"/>
    <n v="1.5"/>
    <n v="1"/>
    <x v="1"/>
    <x v="26"/>
    <x v="295"/>
  </r>
  <r>
    <n v="991"/>
    <x v="990"/>
    <x v="30"/>
    <x v="1"/>
    <x v="1"/>
    <d v="2023-02-09T00:00:00"/>
    <d v="2023-05-31T00:00:00"/>
    <n v="250"/>
    <n v="4.8"/>
    <n v="1"/>
    <x v="1"/>
    <x v="20"/>
    <x v="544"/>
  </r>
  <r>
    <n v="992"/>
    <x v="991"/>
    <x v="39"/>
    <x v="1"/>
    <x v="1"/>
    <d v="2023-03-12T00:00:00"/>
    <d v="2023-05-04T00:00:00"/>
    <n v="40"/>
    <n v="3.5"/>
    <n v="1"/>
    <x v="1"/>
    <x v="24"/>
    <x v="17"/>
  </r>
  <r>
    <n v="993"/>
    <x v="992"/>
    <x v="29"/>
    <x v="0"/>
    <x v="2"/>
    <d v="2022-09-21T00:00:00"/>
    <d v="2023-07-04T00:00:00"/>
    <n v="428"/>
    <n v="2.7"/>
    <n v="0"/>
    <x v="0"/>
    <x v="14"/>
    <x v="565"/>
  </r>
  <r>
    <n v="994"/>
    <x v="993"/>
    <x v="37"/>
    <x v="1"/>
    <x v="0"/>
    <d v="2023-06-17T00:00:00"/>
    <d v="2024-04-26T00:00:00"/>
    <n v="480"/>
    <n v="1"/>
    <n v="1"/>
    <x v="1"/>
    <x v="17"/>
    <x v="235"/>
  </r>
  <r>
    <n v="995"/>
    <x v="994"/>
    <x v="3"/>
    <x v="1"/>
    <x v="1"/>
    <d v="2023-07-29T00:00:00"/>
    <d v="2024-07-19T00:00:00"/>
    <n v="27"/>
    <n v="2.8"/>
    <n v="1"/>
    <x v="1"/>
    <x v="2"/>
    <x v="649"/>
  </r>
  <r>
    <n v="996"/>
    <x v="995"/>
    <x v="21"/>
    <x v="1"/>
    <x v="0"/>
    <d v="2022-05-07T00:00:00"/>
    <d v="2022-09-16T00:00:00"/>
    <n v="319"/>
    <n v="4.5"/>
    <n v="1"/>
    <x v="1"/>
    <x v="7"/>
    <x v="489"/>
  </r>
  <r>
    <n v="997"/>
    <x v="996"/>
    <x v="42"/>
    <x v="0"/>
    <x v="1"/>
    <d v="2024-02-03T00:00:00"/>
    <d v="2025-01-11T00:00:00"/>
    <n v="104"/>
    <n v="3.3"/>
    <n v="1"/>
    <x v="1"/>
    <x v="4"/>
    <x v="650"/>
  </r>
  <r>
    <n v="998"/>
    <x v="997"/>
    <x v="45"/>
    <x v="1"/>
    <x v="2"/>
    <d v="2022-01-02T00:00:00"/>
    <d v="2022-04-10T00:00:00"/>
    <n v="72"/>
    <n v="2.2000000000000002"/>
    <n v="1"/>
    <x v="1"/>
    <x v="22"/>
    <x v="651"/>
  </r>
  <r>
    <n v="999"/>
    <x v="998"/>
    <x v="8"/>
    <x v="1"/>
    <x v="2"/>
    <d v="2023-03-11T00:00:00"/>
    <d v="2023-05-08T00:00:00"/>
    <n v="428"/>
    <n v="1.5"/>
    <n v="1"/>
    <x v="1"/>
    <x v="24"/>
    <x v="652"/>
  </r>
  <r>
    <n v="1000"/>
    <x v="999"/>
    <x v="32"/>
    <x v="1"/>
    <x v="0"/>
    <d v="2022-11-06T00:00:00"/>
    <d v="2023-10-09T00:00:00"/>
    <n v="147"/>
    <n v="1.8"/>
    <n v="1"/>
    <x v="1"/>
    <x v="25"/>
    <x v="1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5AE2AD-DE2B-424B-98BE-084CD3E1733E}" name="PivotTable2" cacheId="1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A1:B4" firstHeaderRow="1" firstDataRow="1" firstDataCol="1"/>
  <pivotFields count="13">
    <pivotField showAll="0"/>
    <pivotField dataField="1" showAll="0">
      <items count="1001">
        <item x="0"/>
        <item x="9"/>
        <item x="99"/>
        <item x="9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items count="49">
        <item x="43"/>
        <item x="40"/>
        <item x="2"/>
        <item x="9"/>
        <item x="38"/>
        <item x="25"/>
        <item x="23"/>
        <item x="34"/>
        <item x="41"/>
        <item x="30"/>
        <item x="32"/>
        <item x="16"/>
        <item x="35"/>
        <item x="11"/>
        <item x="21"/>
        <item x="27"/>
        <item x="12"/>
        <item x="0"/>
        <item x="18"/>
        <item x="39"/>
        <item x="13"/>
        <item x="1"/>
        <item x="10"/>
        <item x="24"/>
        <item x="26"/>
        <item x="4"/>
        <item x="46"/>
        <item x="29"/>
        <item x="14"/>
        <item x="6"/>
        <item x="45"/>
        <item x="33"/>
        <item x="19"/>
        <item x="5"/>
        <item x="36"/>
        <item x="15"/>
        <item x="22"/>
        <item x="8"/>
        <item x="37"/>
        <item x="7"/>
        <item x="44"/>
        <item x="31"/>
        <item x="17"/>
        <item x="47"/>
        <item x="3"/>
        <item x="28"/>
        <item x="20"/>
        <item x="42"/>
        <item t="default"/>
      </items>
    </pivotField>
    <pivotField showAll="0">
      <items count="3">
        <item x="0"/>
        <item x="1"/>
        <item t="default"/>
      </items>
    </pivotField>
    <pivotField showAll="0">
      <items count="4">
        <item x="1"/>
        <item x="2"/>
        <item x="0"/>
        <item t="default"/>
      </items>
    </pivotField>
    <pivotField numFmtId="14" showAll="0"/>
    <pivotField numFmtId="14" showAll="0"/>
    <pivotField showAll="0"/>
    <pivotField showAll="0"/>
    <pivotField showAll="0"/>
    <pivotField axis="axisRow" showAll="0">
      <items count="3">
        <item x="0"/>
        <item x="1"/>
        <item t="default"/>
      </items>
    </pivotField>
    <pivotField showAll="0"/>
    <pivotField numFmtId="14" showAll="0">
      <items count="654">
        <item x="482"/>
        <item x="369"/>
        <item x="220"/>
        <item x="86"/>
        <item x="428"/>
        <item x="417"/>
        <item x="308"/>
        <item x="344"/>
        <item x="16"/>
        <item x="625"/>
        <item x="619"/>
        <item x="533"/>
        <item x="563"/>
        <item x="331"/>
        <item x="239"/>
        <item x="84"/>
        <item x="624"/>
        <item x="627"/>
        <item x="29"/>
        <item x="559"/>
        <item x="287"/>
        <item x="182"/>
        <item x="456"/>
        <item x="607"/>
        <item x="406"/>
        <item x="540"/>
        <item x="13"/>
        <item x="199"/>
        <item x="185"/>
        <item x="603"/>
        <item x="462"/>
        <item x="101"/>
        <item x="389"/>
        <item x="78"/>
        <item x="521"/>
        <item x="222"/>
        <item x="9"/>
        <item x="530"/>
        <item x="650"/>
        <item x="532"/>
        <item x="228"/>
        <item x="230"/>
        <item x="335"/>
        <item x="577"/>
        <item x="40"/>
        <item x="567"/>
        <item x="224"/>
        <item x="506"/>
        <item x="646"/>
        <item x="32"/>
        <item x="64"/>
        <item x="483"/>
        <item x="588"/>
        <item x="525"/>
        <item x="471"/>
        <item x="115"/>
        <item x="425"/>
        <item x="250"/>
        <item x="43"/>
        <item x="305"/>
        <item x="611"/>
        <item x="571"/>
        <item x="598"/>
        <item x="0"/>
        <item x="289"/>
        <item x="255"/>
        <item x="280"/>
        <item x="498"/>
        <item x="183"/>
        <item x="561"/>
        <item x="218"/>
        <item x="256"/>
        <item x="613"/>
        <item x="583"/>
        <item x="202"/>
        <item x="174"/>
        <item x="270"/>
        <item x="387"/>
        <item x="123"/>
        <item x="362"/>
        <item x="37"/>
        <item x="593"/>
        <item x="234"/>
        <item x="245"/>
        <item x="155"/>
        <item x="543"/>
        <item x="214"/>
        <item x="526"/>
        <item x="303"/>
        <item x="550"/>
        <item x="575"/>
        <item x="247"/>
        <item x="601"/>
        <item x="467"/>
        <item x="147"/>
        <item x="146"/>
        <item x="617"/>
        <item x="316"/>
        <item x="312"/>
        <item x="265"/>
        <item x="490"/>
        <item x="558"/>
        <item x="477"/>
        <item x="51"/>
        <item x="241"/>
        <item x="100"/>
        <item x="167"/>
        <item x="116"/>
        <item x="285"/>
        <item x="622"/>
        <item x="493"/>
        <item x="642"/>
        <item x="87"/>
        <item x="257"/>
        <item x="181"/>
        <item x="67"/>
        <item x="638"/>
        <item x="626"/>
        <item x="409"/>
        <item x="547"/>
        <item x="450"/>
        <item x="152"/>
        <item x="55"/>
        <item x="282"/>
        <item x="437"/>
        <item x="106"/>
        <item x="431"/>
        <item x="314"/>
        <item x="349"/>
        <item x="186"/>
        <item x="119"/>
        <item x="107"/>
        <item x="243"/>
        <item x="309"/>
        <item x="244"/>
        <item x="649"/>
        <item x="226"/>
        <item x="204"/>
        <item x="238"/>
        <item x="95"/>
        <item x="262"/>
        <item x="636"/>
        <item x="93"/>
        <item x="70"/>
        <item x="382"/>
        <item x="372"/>
        <item x="481"/>
        <item x="157"/>
        <item x="321"/>
        <item x="110"/>
        <item x="135"/>
        <item x="643"/>
        <item x="164"/>
        <item x="237"/>
        <item x="443"/>
        <item x="94"/>
        <item x="551"/>
        <item x="35"/>
        <item x="260"/>
        <item x="264"/>
        <item x="131"/>
        <item x="346"/>
        <item x="195"/>
        <item x="62"/>
        <item x="307"/>
        <item x="473"/>
        <item x="520"/>
        <item x="556"/>
        <item x="149"/>
        <item x="639"/>
        <item x="79"/>
        <item x="562"/>
        <item x="492"/>
        <item x="370"/>
        <item x="497"/>
        <item x="124"/>
        <item x="337"/>
        <item x="365"/>
        <item x="541"/>
        <item x="36"/>
        <item x="211"/>
        <item x="587"/>
        <item x="6"/>
        <item x="58"/>
        <item x="535"/>
        <item x="348"/>
        <item x="57"/>
        <item x="90"/>
        <item x="388"/>
        <item x="213"/>
        <item x="545"/>
        <item x="399"/>
        <item x="33"/>
        <item x="128"/>
        <item x="373"/>
        <item x="235"/>
        <item x="641"/>
        <item x="206"/>
        <item x="92"/>
        <item x="427"/>
        <item x="585"/>
        <item x="99"/>
        <item x="148"/>
        <item x="88"/>
        <item x="171"/>
        <item x="210"/>
        <item x="246"/>
        <item x="134"/>
        <item x="644"/>
        <item x="232"/>
        <item x="332"/>
        <item x="156"/>
        <item x="439"/>
        <item x="581"/>
        <item x="356"/>
        <item x="459"/>
        <item x="301"/>
        <item x="632"/>
        <item x="121"/>
        <item x="407"/>
        <item x="418"/>
        <item x="162"/>
        <item x="448"/>
        <item x="150"/>
        <item x="4"/>
        <item x="48"/>
        <item x="194"/>
        <item x="347"/>
        <item x="327"/>
        <item x="85"/>
        <item x="371"/>
        <item x="325"/>
        <item x="203"/>
        <item x="27"/>
        <item x="339"/>
        <item x="189"/>
        <item x="219"/>
        <item x="253"/>
        <item x="2"/>
        <item x="227"/>
        <item x="494"/>
        <item x="114"/>
        <item x="404"/>
        <item x="25"/>
        <item x="363"/>
        <item x="616"/>
        <item x="38"/>
        <item x="113"/>
        <item x="357"/>
        <item x="340"/>
        <item x="413"/>
        <item x="104"/>
        <item x="538"/>
        <item x="12"/>
        <item x="209"/>
        <item x="118"/>
        <item x="435"/>
        <item x="391"/>
        <item x="41"/>
        <item x="54"/>
        <item x="552"/>
        <item x="141"/>
        <item x="522"/>
        <item x="212"/>
        <item x="328"/>
        <item x="77"/>
        <item x="23"/>
        <item x="612"/>
        <item x="111"/>
        <item x="374"/>
        <item x="539"/>
        <item x="438"/>
        <item x="320"/>
        <item x="72"/>
        <item x="433"/>
        <item x="412"/>
        <item x="421"/>
        <item x="192"/>
        <item x="275"/>
        <item x="269"/>
        <item x="605"/>
        <item x="165"/>
        <item x="176"/>
        <item x="478"/>
        <item x="452"/>
        <item x="139"/>
        <item x="505"/>
        <item x="578"/>
        <item x="600"/>
        <item x="217"/>
        <item x="645"/>
        <item x="468"/>
        <item x="91"/>
        <item x="609"/>
        <item x="464"/>
        <item x="130"/>
        <item x="137"/>
        <item x="254"/>
        <item x="495"/>
        <item x="200"/>
        <item x="529"/>
        <item x="401"/>
        <item x="597"/>
        <item x="60"/>
        <item x="225"/>
        <item x="457"/>
        <item x="313"/>
        <item x="317"/>
        <item x="564"/>
        <item x="47"/>
        <item x="410"/>
        <item x="268"/>
        <item x="414"/>
        <item x="46"/>
        <item x="573"/>
        <item x="59"/>
        <item x="449"/>
        <item x="191"/>
        <item x="240"/>
        <item x="553"/>
        <item x="608"/>
        <item x="504"/>
        <item x="355"/>
        <item x="637"/>
        <item x="531"/>
        <item x="215"/>
        <item x="527"/>
        <item x="3"/>
        <item x="423"/>
        <item x="420"/>
        <item x="368"/>
        <item x="326"/>
        <item x="430"/>
        <item x="519"/>
        <item x="201"/>
        <item x="20"/>
        <item x="196"/>
        <item x="96"/>
        <item x="138"/>
        <item x="536"/>
        <item x="330"/>
        <item x="548"/>
        <item x="400"/>
        <item x="117"/>
        <item x="384"/>
        <item x="364"/>
        <item x="50"/>
        <item x="168"/>
        <item x="11"/>
        <item x="353"/>
        <item x="81"/>
        <item x="501"/>
        <item x="63"/>
        <item x="252"/>
        <item x="380"/>
        <item x="402"/>
        <item x="293"/>
        <item x="557"/>
        <item x="125"/>
        <item x="120"/>
        <item x="432"/>
        <item x="159"/>
        <item x="647"/>
        <item x="82"/>
        <item x="83"/>
        <item x="169"/>
        <item x="465"/>
        <item x="24"/>
        <item x="342"/>
        <item x="103"/>
        <item x="484"/>
        <item x="153"/>
        <item x="221"/>
        <item x="66"/>
        <item x="136"/>
        <item x="458"/>
        <item x="304"/>
        <item x="511"/>
        <item x="606"/>
        <item x="208"/>
        <item x="68"/>
        <item x="542"/>
        <item x="549"/>
        <item x="290"/>
        <item x="281"/>
        <item x="595"/>
        <item x="396"/>
        <item x="143"/>
        <item x="397"/>
        <item x="277"/>
        <item x="383"/>
        <item x="631"/>
        <item x="565"/>
        <item x="460"/>
        <item x="112"/>
        <item x="71"/>
        <item x="486"/>
        <item x="470"/>
        <item x="323"/>
        <item x="75"/>
        <item x="360"/>
        <item x="283"/>
        <item x="98"/>
        <item x="434"/>
        <item x="158"/>
        <item x="180"/>
        <item x="510"/>
        <item x="105"/>
        <item x="286"/>
        <item x="350"/>
        <item x="151"/>
        <item x="476"/>
        <item x="496"/>
        <item x="524"/>
        <item x="602"/>
        <item x="544"/>
        <item x="296"/>
        <item x="53"/>
        <item x="184"/>
        <item x="480"/>
        <item x="160"/>
        <item x="10"/>
        <item x="576"/>
        <item x="28"/>
        <item x="453"/>
        <item x="591"/>
        <item x="341"/>
        <item x="271"/>
        <item x="652"/>
        <item x="455"/>
        <item x="97"/>
        <item x="17"/>
        <item x="109"/>
        <item x="555"/>
        <item x="610"/>
        <item x="300"/>
        <item x="491"/>
        <item x="292"/>
        <item x="31"/>
        <item x="15"/>
        <item x="163"/>
        <item x="338"/>
        <item x="351"/>
        <item x="310"/>
        <item x="358"/>
        <item x="596"/>
        <item x="8"/>
        <item x="74"/>
        <item x="376"/>
        <item x="205"/>
        <item x="375"/>
        <item x="108"/>
        <item x="267"/>
        <item x="223"/>
        <item x="594"/>
        <item x="42"/>
        <item x="273"/>
        <item x="266"/>
        <item x="354"/>
        <item x="22"/>
        <item x="322"/>
        <item x="604"/>
        <item x="634"/>
        <item x="61"/>
        <item x="630"/>
        <item x="198"/>
        <item x="599"/>
        <item x="190"/>
        <item x="259"/>
        <item x="161"/>
        <item x="546"/>
        <item x="49"/>
        <item x="26"/>
        <item x="446"/>
        <item x="367"/>
        <item x="469"/>
        <item x="274"/>
        <item x="509"/>
        <item x="416"/>
        <item x="52"/>
        <item x="528"/>
        <item x="621"/>
        <item x="403"/>
        <item x="379"/>
        <item x="514"/>
        <item x="298"/>
        <item x="193"/>
        <item x="343"/>
        <item x="5"/>
        <item x="442"/>
        <item x="429"/>
        <item x="173"/>
        <item x="56"/>
        <item x="361"/>
        <item x="258"/>
        <item x="436"/>
        <item x="80"/>
        <item x="513"/>
        <item x="231"/>
        <item x="393"/>
        <item x="276"/>
        <item x="154"/>
        <item x="472"/>
        <item x="398"/>
        <item x="242"/>
        <item x="306"/>
        <item x="295"/>
        <item x="216"/>
        <item x="236"/>
        <item x="145"/>
        <item x="334"/>
        <item x="69"/>
        <item x="248"/>
        <item x="127"/>
        <item x="444"/>
        <item x="411"/>
        <item x="512"/>
        <item x="390"/>
        <item x="518"/>
        <item x="34"/>
        <item x="516"/>
        <item x="640"/>
        <item x="475"/>
        <item x="395"/>
        <item x="618"/>
        <item x="488"/>
        <item x="18"/>
        <item x="249"/>
        <item x="592"/>
        <item x="291"/>
        <item x="589"/>
        <item x="648"/>
        <item x="517"/>
        <item x="447"/>
        <item x="142"/>
        <item x="188"/>
        <item x="336"/>
        <item x="629"/>
        <item x="415"/>
        <item x="73"/>
        <item x="30"/>
        <item x="451"/>
        <item x="424"/>
        <item x="39"/>
        <item x="560"/>
        <item x="572"/>
        <item x="569"/>
        <item x="302"/>
        <item x="229"/>
        <item x="426"/>
        <item x="315"/>
        <item x="408"/>
        <item x="144"/>
        <item x="385"/>
        <item x="175"/>
        <item x="279"/>
        <item x="263"/>
        <item x="633"/>
        <item x="1"/>
        <item x="102"/>
        <item x="386"/>
        <item x="179"/>
        <item x="584"/>
        <item x="566"/>
        <item x="126"/>
        <item x="623"/>
        <item x="366"/>
        <item x="272"/>
        <item x="359"/>
        <item x="489"/>
        <item x="445"/>
        <item x="187"/>
        <item x="537"/>
        <item x="197"/>
        <item x="620"/>
        <item x="352"/>
        <item x="378"/>
        <item x="422"/>
        <item x="333"/>
        <item x="570"/>
        <item x="586"/>
        <item x="508"/>
        <item x="140"/>
        <item x="166"/>
        <item x="579"/>
        <item x="44"/>
        <item x="172"/>
        <item x="503"/>
        <item x="392"/>
        <item x="441"/>
        <item x="461"/>
        <item x="122"/>
        <item x="554"/>
        <item x="329"/>
        <item x="568"/>
        <item x="474"/>
        <item x="499"/>
        <item x="628"/>
        <item x="233"/>
        <item x="207"/>
        <item x="523"/>
        <item x="574"/>
        <item x="19"/>
        <item x="133"/>
        <item x="76"/>
        <item x="251"/>
        <item x="635"/>
        <item x="170"/>
        <item x="324"/>
        <item x="261"/>
        <item x="319"/>
        <item x="377"/>
        <item x="381"/>
        <item x="132"/>
        <item x="65"/>
        <item x="14"/>
        <item x="297"/>
        <item x="7"/>
        <item x="507"/>
        <item x="288"/>
        <item x="466"/>
        <item x="615"/>
        <item x="454"/>
        <item x="440"/>
        <item x="500"/>
        <item x="177"/>
        <item x="345"/>
        <item x="405"/>
        <item x="419"/>
        <item x="463"/>
        <item x="278"/>
        <item x="582"/>
        <item x="284"/>
        <item x="479"/>
        <item x="485"/>
        <item x="294"/>
        <item x="178"/>
        <item x="502"/>
        <item x="534"/>
        <item x="651"/>
        <item x="394"/>
        <item x="590"/>
        <item x="21"/>
        <item x="129"/>
        <item x="89"/>
        <item x="515"/>
        <item x="580"/>
        <item x="487"/>
        <item x="299"/>
        <item x="318"/>
        <item x="45"/>
        <item x="311"/>
        <item x="614"/>
        <item t="default"/>
      </items>
    </pivotField>
  </pivotFields>
  <rowFields count="1">
    <field x="10"/>
  </rowFields>
  <rowItems count="3">
    <i>
      <x/>
    </i>
    <i>
      <x v="1"/>
    </i>
    <i t="grand">
      <x/>
    </i>
  </rowItems>
  <colItems count="1">
    <i/>
  </colItems>
  <dataFields count="1">
    <dataField name="Count of Name" fld="1" subtotal="count" baseField="0" baseItem="0"/>
  </dataFields>
  <chartFormats count="4">
    <chartFormat chart="2"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0" count="1" selected="0">
            <x v="0"/>
          </reference>
        </references>
      </pivotArea>
    </chartFormat>
    <chartFormat chart="4" format="6">
      <pivotArea type="data" outline="0" fieldPosition="0">
        <references count="2">
          <reference field="4294967294" count="1" selected="0">
            <x v="0"/>
          </reference>
          <reference field="10" count="1" selected="0">
            <x v="1"/>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D8B502-5158-4CE9-864E-1BFB5FD1C26F}" name="PivotTable4" cacheId="1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D1:E32" firstHeaderRow="1" firstDataRow="1" firstDataCol="1"/>
  <pivotFields count="13">
    <pivotField showAll="0"/>
    <pivotField showAll="0"/>
    <pivotField showAll="0">
      <items count="49">
        <item x="43"/>
        <item x="40"/>
        <item x="2"/>
        <item x="9"/>
        <item x="38"/>
        <item x="25"/>
        <item x="23"/>
        <item x="34"/>
        <item x="41"/>
        <item x="30"/>
        <item x="32"/>
        <item x="16"/>
        <item x="35"/>
        <item x="11"/>
        <item x="21"/>
        <item x="27"/>
        <item x="12"/>
        <item x="0"/>
        <item x="18"/>
        <item x="39"/>
        <item x="13"/>
        <item x="1"/>
        <item x="10"/>
        <item x="24"/>
        <item x="26"/>
        <item x="4"/>
        <item x="46"/>
        <item x="29"/>
        <item x="14"/>
        <item x="6"/>
        <item x="45"/>
        <item x="33"/>
        <item x="19"/>
        <item x="5"/>
        <item x="36"/>
        <item x="15"/>
        <item x="22"/>
        <item x="8"/>
        <item x="37"/>
        <item x="7"/>
        <item x="44"/>
        <item x="31"/>
        <item x="17"/>
        <item x="47"/>
        <item x="3"/>
        <item x="28"/>
        <item x="20"/>
        <item x="42"/>
        <item t="default"/>
      </items>
    </pivotField>
    <pivotField showAll="0">
      <items count="3">
        <item x="0"/>
        <item x="1"/>
        <item t="default"/>
      </items>
    </pivotField>
    <pivotField showAll="0">
      <items count="4">
        <item x="1"/>
        <item x="2"/>
        <item x="0"/>
        <item t="default"/>
      </items>
    </pivotField>
    <pivotField numFmtId="14" showAll="0"/>
    <pivotField numFmtId="14" showAll="0"/>
    <pivotField showAll="0"/>
    <pivotField showAll="0"/>
    <pivotField dataField="1" showAll="0"/>
    <pivotField showAll="0">
      <items count="3">
        <item x="0"/>
        <item x="1"/>
        <item t="default"/>
      </items>
    </pivotField>
    <pivotField axis="axisRow" showAll="0">
      <items count="31">
        <item x="1"/>
        <item x="3"/>
        <item x="13"/>
        <item x="26"/>
        <item x="11"/>
        <item x="23"/>
        <item x="21"/>
        <item x="15"/>
        <item x="20"/>
        <item x="4"/>
        <item x="22"/>
        <item x="10"/>
        <item x="6"/>
        <item x="28"/>
        <item x="2"/>
        <item x="8"/>
        <item x="17"/>
        <item x="29"/>
        <item x="5"/>
        <item x="24"/>
        <item x="9"/>
        <item x="7"/>
        <item x="16"/>
        <item x="0"/>
        <item x="25"/>
        <item x="19"/>
        <item x="18"/>
        <item x="27"/>
        <item x="14"/>
        <item x="12"/>
        <item t="default"/>
      </items>
    </pivotField>
    <pivotField numFmtId="14" showAll="0">
      <items count="654">
        <item x="482"/>
        <item x="369"/>
        <item x="220"/>
        <item x="86"/>
        <item x="428"/>
        <item x="417"/>
        <item x="308"/>
        <item x="344"/>
        <item x="16"/>
        <item x="625"/>
        <item x="619"/>
        <item x="533"/>
        <item x="563"/>
        <item x="331"/>
        <item x="239"/>
        <item x="84"/>
        <item x="624"/>
        <item x="627"/>
        <item x="29"/>
        <item x="559"/>
        <item x="287"/>
        <item x="182"/>
        <item x="456"/>
        <item x="607"/>
        <item x="406"/>
        <item x="540"/>
        <item x="13"/>
        <item x="199"/>
        <item x="185"/>
        <item x="603"/>
        <item x="462"/>
        <item x="101"/>
        <item x="389"/>
        <item x="78"/>
        <item x="521"/>
        <item x="222"/>
        <item x="9"/>
        <item x="530"/>
        <item x="650"/>
        <item x="532"/>
        <item x="228"/>
        <item x="230"/>
        <item x="335"/>
        <item x="577"/>
        <item x="40"/>
        <item x="567"/>
        <item x="224"/>
        <item x="506"/>
        <item x="646"/>
        <item x="32"/>
        <item x="64"/>
        <item x="483"/>
        <item x="588"/>
        <item x="525"/>
        <item x="471"/>
        <item x="115"/>
        <item x="425"/>
        <item x="250"/>
        <item x="43"/>
        <item x="305"/>
        <item x="611"/>
        <item x="571"/>
        <item x="598"/>
        <item x="0"/>
        <item x="289"/>
        <item x="255"/>
        <item x="280"/>
        <item x="498"/>
        <item x="183"/>
        <item x="561"/>
        <item x="218"/>
        <item x="256"/>
        <item x="613"/>
        <item x="583"/>
        <item x="202"/>
        <item x="174"/>
        <item x="270"/>
        <item x="387"/>
        <item x="123"/>
        <item x="362"/>
        <item x="37"/>
        <item x="593"/>
        <item x="234"/>
        <item x="245"/>
        <item x="155"/>
        <item x="543"/>
        <item x="214"/>
        <item x="526"/>
        <item x="303"/>
        <item x="550"/>
        <item x="575"/>
        <item x="247"/>
        <item x="601"/>
        <item x="467"/>
        <item x="147"/>
        <item x="146"/>
        <item x="617"/>
        <item x="316"/>
        <item x="312"/>
        <item x="265"/>
        <item x="490"/>
        <item x="558"/>
        <item x="477"/>
        <item x="51"/>
        <item x="241"/>
        <item x="100"/>
        <item x="167"/>
        <item x="116"/>
        <item x="285"/>
        <item x="622"/>
        <item x="493"/>
        <item x="642"/>
        <item x="87"/>
        <item x="257"/>
        <item x="181"/>
        <item x="67"/>
        <item x="638"/>
        <item x="626"/>
        <item x="409"/>
        <item x="547"/>
        <item x="450"/>
        <item x="152"/>
        <item x="55"/>
        <item x="282"/>
        <item x="437"/>
        <item x="106"/>
        <item x="431"/>
        <item x="314"/>
        <item x="349"/>
        <item x="186"/>
        <item x="119"/>
        <item x="107"/>
        <item x="243"/>
        <item x="309"/>
        <item x="244"/>
        <item x="649"/>
        <item x="226"/>
        <item x="204"/>
        <item x="238"/>
        <item x="95"/>
        <item x="262"/>
        <item x="636"/>
        <item x="93"/>
        <item x="70"/>
        <item x="382"/>
        <item x="372"/>
        <item x="481"/>
        <item x="157"/>
        <item x="321"/>
        <item x="110"/>
        <item x="135"/>
        <item x="643"/>
        <item x="164"/>
        <item x="237"/>
        <item x="443"/>
        <item x="94"/>
        <item x="551"/>
        <item x="35"/>
        <item x="260"/>
        <item x="264"/>
        <item x="131"/>
        <item x="346"/>
        <item x="195"/>
        <item x="62"/>
        <item x="307"/>
        <item x="473"/>
        <item x="520"/>
        <item x="556"/>
        <item x="149"/>
        <item x="639"/>
        <item x="79"/>
        <item x="562"/>
        <item x="492"/>
        <item x="370"/>
        <item x="497"/>
        <item x="124"/>
        <item x="337"/>
        <item x="365"/>
        <item x="541"/>
        <item x="36"/>
        <item x="211"/>
        <item x="587"/>
        <item x="6"/>
        <item x="58"/>
        <item x="535"/>
        <item x="348"/>
        <item x="57"/>
        <item x="90"/>
        <item x="388"/>
        <item x="213"/>
        <item x="545"/>
        <item x="399"/>
        <item x="33"/>
        <item x="128"/>
        <item x="373"/>
        <item x="235"/>
        <item x="641"/>
        <item x="206"/>
        <item x="92"/>
        <item x="427"/>
        <item x="585"/>
        <item x="99"/>
        <item x="148"/>
        <item x="88"/>
        <item x="171"/>
        <item x="210"/>
        <item x="246"/>
        <item x="134"/>
        <item x="644"/>
        <item x="232"/>
        <item x="332"/>
        <item x="156"/>
        <item x="439"/>
        <item x="581"/>
        <item x="356"/>
        <item x="459"/>
        <item x="301"/>
        <item x="632"/>
        <item x="121"/>
        <item x="407"/>
        <item x="418"/>
        <item x="162"/>
        <item x="448"/>
        <item x="150"/>
        <item x="4"/>
        <item x="48"/>
        <item x="194"/>
        <item x="347"/>
        <item x="327"/>
        <item x="85"/>
        <item x="371"/>
        <item x="325"/>
        <item x="203"/>
        <item x="27"/>
        <item x="339"/>
        <item x="189"/>
        <item x="219"/>
        <item x="253"/>
        <item x="2"/>
        <item x="227"/>
        <item x="494"/>
        <item x="114"/>
        <item x="404"/>
        <item x="25"/>
        <item x="363"/>
        <item x="616"/>
        <item x="38"/>
        <item x="113"/>
        <item x="357"/>
        <item x="340"/>
        <item x="413"/>
        <item x="104"/>
        <item x="538"/>
        <item x="12"/>
        <item x="209"/>
        <item x="118"/>
        <item x="435"/>
        <item x="391"/>
        <item x="41"/>
        <item x="54"/>
        <item x="552"/>
        <item x="141"/>
        <item x="522"/>
        <item x="212"/>
        <item x="328"/>
        <item x="77"/>
        <item x="23"/>
        <item x="612"/>
        <item x="111"/>
        <item x="374"/>
        <item x="539"/>
        <item x="438"/>
        <item x="320"/>
        <item x="72"/>
        <item x="433"/>
        <item x="412"/>
        <item x="421"/>
        <item x="192"/>
        <item x="275"/>
        <item x="269"/>
        <item x="605"/>
        <item x="165"/>
        <item x="176"/>
        <item x="478"/>
        <item x="452"/>
        <item x="139"/>
        <item x="505"/>
        <item x="578"/>
        <item x="600"/>
        <item x="217"/>
        <item x="645"/>
        <item x="468"/>
        <item x="91"/>
        <item x="609"/>
        <item x="464"/>
        <item x="130"/>
        <item x="137"/>
        <item x="254"/>
        <item x="495"/>
        <item x="200"/>
        <item x="529"/>
        <item x="401"/>
        <item x="597"/>
        <item x="60"/>
        <item x="225"/>
        <item x="457"/>
        <item x="313"/>
        <item x="317"/>
        <item x="564"/>
        <item x="47"/>
        <item x="410"/>
        <item x="268"/>
        <item x="414"/>
        <item x="46"/>
        <item x="573"/>
        <item x="59"/>
        <item x="449"/>
        <item x="191"/>
        <item x="240"/>
        <item x="553"/>
        <item x="608"/>
        <item x="504"/>
        <item x="355"/>
        <item x="637"/>
        <item x="531"/>
        <item x="215"/>
        <item x="527"/>
        <item x="3"/>
        <item x="423"/>
        <item x="420"/>
        <item x="368"/>
        <item x="326"/>
        <item x="430"/>
        <item x="519"/>
        <item x="201"/>
        <item x="20"/>
        <item x="196"/>
        <item x="96"/>
        <item x="138"/>
        <item x="536"/>
        <item x="330"/>
        <item x="548"/>
        <item x="400"/>
        <item x="117"/>
        <item x="384"/>
        <item x="364"/>
        <item x="50"/>
        <item x="168"/>
        <item x="11"/>
        <item x="353"/>
        <item x="81"/>
        <item x="501"/>
        <item x="63"/>
        <item x="252"/>
        <item x="380"/>
        <item x="402"/>
        <item x="293"/>
        <item x="557"/>
        <item x="125"/>
        <item x="120"/>
        <item x="432"/>
        <item x="159"/>
        <item x="647"/>
        <item x="82"/>
        <item x="83"/>
        <item x="169"/>
        <item x="465"/>
        <item x="24"/>
        <item x="342"/>
        <item x="103"/>
        <item x="484"/>
        <item x="153"/>
        <item x="221"/>
        <item x="66"/>
        <item x="136"/>
        <item x="458"/>
        <item x="304"/>
        <item x="511"/>
        <item x="606"/>
        <item x="208"/>
        <item x="68"/>
        <item x="542"/>
        <item x="549"/>
        <item x="290"/>
        <item x="281"/>
        <item x="595"/>
        <item x="396"/>
        <item x="143"/>
        <item x="397"/>
        <item x="277"/>
        <item x="383"/>
        <item x="631"/>
        <item x="565"/>
        <item x="460"/>
        <item x="112"/>
        <item x="71"/>
        <item x="486"/>
        <item x="470"/>
        <item x="323"/>
        <item x="75"/>
        <item x="360"/>
        <item x="283"/>
        <item x="98"/>
        <item x="434"/>
        <item x="158"/>
        <item x="180"/>
        <item x="510"/>
        <item x="105"/>
        <item x="286"/>
        <item x="350"/>
        <item x="151"/>
        <item x="476"/>
        <item x="496"/>
        <item x="524"/>
        <item x="602"/>
        <item x="544"/>
        <item x="296"/>
        <item x="53"/>
        <item x="184"/>
        <item x="480"/>
        <item x="160"/>
        <item x="10"/>
        <item x="576"/>
        <item x="28"/>
        <item x="453"/>
        <item x="591"/>
        <item x="341"/>
        <item x="271"/>
        <item x="652"/>
        <item x="455"/>
        <item x="97"/>
        <item x="17"/>
        <item x="109"/>
        <item x="555"/>
        <item x="610"/>
        <item x="300"/>
        <item x="491"/>
        <item x="292"/>
        <item x="31"/>
        <item x="15"/>
        <item x="163"/>
        <item x="338"/>
        <item x="351"/>
        <item x="310"/>
        <item x="358"/>
        <item x="596"/>
        <item x="8"/>
        <item x="74"/>
        <item x="376"/>
        <item x="205"/>
        <item x="375"/>
        <item x="108"/>
        <item x="267"/>
        <item x="223"/>
        <item x="594"/>
        <item x="42"/>
        <item x="273"/>
        <item x="266"/>
        <item x="354"/>
        <item x="22"/>
        <item x="322"/>
        <item x="604"/>
        <item x="634"/>
        <item x="61"/>
        <item x="630"/>
        <item x="198"/>
        <item x="599"/>
        <item x="190"/>
        <item x="259"/>
        <item x="161"/>
        <item x="546"/>
        <item x="49"/>
        <item x="26"/>
        <item x="446"/>
        <item x="367"/>
        <item x="469"/>
        <item x="274"/>
        <item x="509"/>
        <item x="416"/>
        <item x="52"/>
        <item x="528"/>
        <item x="621"/>
        <item x="403"/>
        <item x="379"/>
        <item x="514"/>
        <item x="298"/>
        <item x="193"/>
        <item x="343"/>
        <item x="5"/>
        <item x="442"/>
        <item x="429"/>
        <item x="173"/>
        <item x="56"/>
        <item x="361"/>
        <item x="258"/>
        <item x="436"/>
        <item x="80"/>
        <item x="513"/>
        <item x="231"/>
        <item x="393"/>
        <item x="276"/>
        <item x="154"/>
        <item x="472"/>
        <item x="398"/>
        <item x="242"/>
        <item x="306"/>
        <item x="295"/>
        <item x="216"/>
        <item x="236"/>
        <item x="145"/>
        <item x="334"/>
        <item x="69"/>
        <item x="248"/>
        <item x="127"/>
        <item x="444"/>
        <item x="411"/>
        <item x="512"/>
        <item x="390"/>
        <item x="518"/>
        <item x="34"/>
        <item x="516"/>
        <item x="640"/>
        <item x="475"/>
        <item x="395"/>
        <item x="618"/>
        <item x="488"/>
        <item x="18"/>
        <item x="249"/>
        <item x="592"/>
        <item x="291"/>
        <item x="589"/>
        <item x="648"/>
        <item x="517"/>
        <item x="447"/>
        <item x="142"/>
        <item x="188"/>
        <item x="336"/>
        <item x="629"/>
        <item x="415"/>
        <item x="73"/>
        <item x="30"/>
        <item x="451"/>
        <item x="424"/>
        <item x="39"/>
        <item x="560"/>
        <item x="572"/>
        <item x="569"/>
        <item x="302"/>
        <item x="229"/>
        <item x="426"/>
        <item x="315"/>
        <item x="408"/>
        <item x="144"/>
        <item x="385"/>
        <item x="175"/>
        <item x="279"/>
        <item x="263"/>
        <item x="633"/>
        <item x="1"/>
        <item x="102"/>
        <item x="386"/>
        <item x="179"/>
        <item x="584"/>
        <item x="566"/>
        <item x="126"/>
        <item x="623"/>
        <item x="366"/>
        <item x="272"/>
        <item x="359"/>
        <item x="489"/>
        <item x="445"/>
        <item x="187"/>
        <item x="537"/>
        <item x="197"/>
        <item x="620"/>
        <item x="352"/>
        <item x="378"/>
        <item x="422"/>
        <item x="333"/>
        <item x="570"/>
        <item x="586"/>
        <item x="508"/>
        <item x="140"/>
        <item x="166"/>
        <item x="579"/>
        <item x="44"/>
        <item x="172"/>
        <item x="503"/>
        <item x="392"/>
        <item x="441"/>
        <item x="461"/>
        <item x="122"/>
        <item x="554"/>
        <item x="329"/>
        <item x="568"/>
        <item x="474"/>
        <item x="499"/>
        <item x="628"/>
        <item x="233"/>
        <item x="207"/>
        <item x="523"/>
        <item x="574"/>
        <item x="19"/>
        <item x="133"/>
        <item x="76"/>
        <item x="251"/>
        <item x="635"/>
        <item x="170"/>
        <item x="324"/>
        <item x="261"/>
        <item x="319"/>
        <item x="377"/>
        <item x="381"/>
        <item x="132"/>
        <item x="65"/>
        <item x="14"/>
        <item x="297"/>
        <item x="7"/>
        <item x="507"/>
        <item x="288"/>
        <item x="466"/>
        <item x="615"/>
        <item x="454"/>
        <item x="440"/>
        <item x="500"/>
        <item x="177"/>
        <item x="345"/>
        <item x="405"/>
        <item x="419"/>
        <item x="463"/>
        <item x="278"/>
        <item x="582"/>
        <item x="284"/>
        <item x="479"/>
        <item x="485"/>
        <item x="294"/>
        <item x="178"/>
        <item x="502"/>
        <item x="534"/>
        <item x="651"/>
        <item x="394"/>
        <item x="590"/>
        <item x="21"/>
        <item x="129"/>
        <item x="89"/>
        <item x="515"/>
        <item x="580"/>
        <item x="487"/>
        <item x="299"/>
        <item x="318"/>
        <item x="45"/>
        <item x="311"/>
        <item x="614"/>
        <item t="default"/>
      </items>
    </pivotField>
  </pivotFields>
  <rowFields count="1">
    <field x="1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Sum of IsChurned" fld="9"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72F4CD-3AFC-4172-8E86-3DA3190B0DB7}" name="PivotTable3" cacheId="1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7:B11" firstHeaderRow="1" firstDataRow="1" firstDataCol="1"/>
  <pivotFields count="13">
    <pivotField showAll="0"/>
    <pivotField showAll="0"/>
    <pivotField showAll="0">
      <items count="49">
        <item x="43"/>
        <item x="40"/>
        <item x="2"/>
        <item x="9"/>
        <item x="38"/>
        <item x="25"/>
        <item x="23"/>
        <item x="34"/>
        <item x="41"/>
        <item x="30"/>
        <item x="32"/>
        <item x="16"/>
        <item x="35"/>
        <item x="11"/>
        <item x="21"/>
        <item x="27"/>
        <item x="12"/>
        <item x="0"/>
        <item x="18"/>
        <item x="39"/>
        <item x="13"/>
        <item x="1"/>
        <item x="10"/>
        <item x="24"/>
        <item x="26"/>
        <item x="4"/>
        <item x="46"/>
        <item x="29"/>
        <item x="14"/>
        <item x="6"/>
        <item x="45"/>
        <item x="33"/>
        <item x="19"/>
        <item x="5"/>
        <item x="36"/>
        <item x="15"/>
        <item x="22"/>
        <item x="8"/>
        <item x="37"/>
        <item x="7"/>
        <item x="44"/>
        <item x="31"/>
        <item x="17"/>
        <item x="47"/>
        <item x="3"/>
        <item x="28"/>
        <item x="20"/>
        <item x="42"/>
        <item t="default"/>
      </items>
    </pivotField>
    <pivotField showAll="0">
      <items count="3">
        <item x="0"/>
        <item x="1"/>
        <item t="default"/>
      </items>
    </pivotField>
    <pivotField axis="axisRow" showAll="0">
      <items count="4">
        <item x="1"/>
        <item x="2"/>
        <item x="0"/>
        <item t="default"/>
      </items>
    </pivotField>
    <pivotField numFmtId="14" showAll="0"/>
    <pivotField numFmtId="14" showAll="0"/>
    <pivotField showAll="0"/>
    <pivotField showAll="0"/>
    <pivotField dataField="1" showAll="0"/>
    <pivotField showAll="0">
      <items count="3">
        <item x="0"/>
        <item x="1"/>
        <item t="default"/>
      </items>
    </pivotField>
    <pivotField showAll="0"/>
    <pivotField numFmtId="14" showAll="0">
      <items count="654">
        <item x="482"/>
        <item x="369"/>
        <item x="220"/>
        <item x="86"/>
        <item x="428"/>
        <item x="417"/>
        <item x="308"/>
        <item x="344"/>
        <item x="16"/>
        <item x="625"/>
        <item x="619"/>
        <item x="533"/>
        <item x="563"/>
        <item x="331"/>
        <item x="239"/>
        <item x="84"/>
        <item x="624"/>
        <item x="627"/>
        <item x="29"/>
        <item x="559"/>
        <item x="287"/>
        <item x="182"/>
        <item x="456"/>
        <item x="607"/>
        <item x="406"/>
        <item x="540"/>
        <item x="13"/>
        <item x="199"/>
        <item x="185"/>
        <item x="603"/>
        <item x="462"/>
        <item x="101"/>
        <item x="389"/>
        <item x="78"/>
        <item x="521"/>
        <item x="222"/>
        <item x="9"/>
        <item x="530"/>
        <item x="650"/>
        <item x="532"/>
        <item x="228"/>
        <item x="230"/>
        <item x="335"/>
        <item x="577"/>
        <item x="40"/>
        <item x="567"/>
        <item x="224"/>
        <item x="506"/>
        <item x="646"/>
        <item x="32"/>
        <item x="64"/>
        <item x="483"/>
        <item x="588"/>
        <item x="525"/>
        <item x="471"/>
        <item x="115"/>
        <item x="425"/>
        <item x="250"/>
        <item x="43"/>
        <item x="305"/>
        <item x="611"/>
        <item x="571"/>
        <item x="598"/>
        <item x="0"/>
        <item x="289"/>
        <item x="255"/>
        <item x="280"/>
        <item x="498"/>
        <item x="183"/>
        <item x="561"/>
        <item x="218"/>
        <item x="256"/>
        <item x="613"/>
        <item x="583"/>
        <item x="202"/>
        <item x="174"/>
        <item x="270"/>
        <item x="387"/>
        <item x="123"/>
        <item x="362"/>
        <item x="37"/>
        <item x="593"/>
        <item x="234"/>
        <item x="245"/>
        <item x="155"/>
        <item x="543"/>
        <item x="214"/>
        <item x="526"/>
        <item x="303"/>
        <item x="550"/>
        <item x="575"/>
        <item x="247"/>
        <item x="601"/>
        <item x="467"/>
        <item x="147"/>
        <item x="146"/>
        <item x="617"/>
        <item x="316"/>
        <item x="312"/>
        <item x="265"/>
        <item x="490"/>
        <item x="558"/>
        <item x="477"/>
        <item x="51"/>
        <item x="241"/>
        <item x="100"/>
        <item x="167"/>
        <item x="116"/>
        <item x="285"/>
        <item x="622"/>
        <item x="493"/>
        <item x="642"/>
        <item x="87"/>
        <item x="257"/>
        <item x="181"/>
        <item x="67"/>
        <item x="638"/>
        <item x="626"/>
        <item x="409"/>
        <item x="547"/>
        <item x="450"/>
        <item x="152"/>
        <item x="55"/>
        <item x="282"/>
        <item x="437"/>
        <item x="106"/>
        <item x="431"/>
        <item x="314"/>
        <item x="349"/>
        <item x="186"/>
        <item x="119"/>
        <item x="107"/>
        <item x="243"/>
        <item x="309"/>
        <item x="244"/>
        <item x="649"/>
        <item x="226"/>
        <item x="204"/>
        <item x="238"/>
        <item x="95"/>
        <item x="262"/>
        <item x="636"/>
        <item x="93"/>
        <item x="70"/>
        <item x="382"/>
        <item x="372"/>
        <item x="481"/>
        <item x="157"/>
        <item x="321"/>
        <item x="110"/>
        <item x="135"/>
        <item x="643"/>
        <item x="164"/>
        <item x="237"/>
        <item x="443"/>
        <item x="94"/>
        <item x="551"/>
        <item x="35"/>
        <item x="260"/>
        <item x="264"/>
        <item x="131"/>
        <item x="346"/>
        <item x="195"/>
        <item x="62"/>
        <item x="307"/>
        <item x="473"/>
        <item x="520"/>
        <item x="556"/>
        <item x="149"/>
        <item x="639"/>
        <item x="79"/>
        <item x="562"/>
        <item x="492"/>
        <item x="370"/>
        <item x="497"/>
        <item x="124"/>
        <item x="337"/>
        <item x="365"/>
        <item x="541"/>
        <item x="36"/>
        <item x="211"/>
        <item x="587"/>
        <item x="6"/>
        <item x="58"/>
        <item x="535"/>
        <item x="348"/>
        <item x="57"/>
        <item x="90"/>
        <item x="388"/>
        <item x="213"/>
        <item x="545"/>
        <item x="399"/>
        <item x="33"/>
        <item x="128"/>
        <item x="373"/>
        <item x="235"/>
        <item x="641"/>
        <item x="206"/>
        <item x="92"/>
        <item x="427"/>
        <item x="585"/>
        <item x="99"/>
        <item x="148"/>
        <item x="88"/>
        <item x="171"/>
        <item x="210"/>
        <item x="246"/>
        <item x="134"/>
        <item x="644"/>
        <item x="232"/>
        <item x="332"/>
        <item x="156"/>
        <item x="439"/>
        <item x="581"/>
        <item x="356"/>
        <item x="459"/>
        <item x="301"/>
        <item x="632"/>
        <item x="121"/>
        <item x="407"/>
        <item x="418"/>
        <item x="162"/>
        <item x="448"/>
        <item x="150"/>
        <item x="4"/>
        <item x="48"/>
        <item x="194"/>
        <item x="347"/>
        <item x="327"/>
        <item x="85"/>
        <item x="371"/>
        <item x="325"/>
        <item x="203"/>
        <item x="27"/>
        <item x="339"/>
        <item x="189"/>
        <item x="219"/>
        <item x="253"/>
        <item x="2"/>
        <item x="227"/>
        <item x="494"/>
        <item x="114"/>
        <item x="404"/>
        <item x="25"/>
        <item x="363"/>
        <item x="616"/>
        <item x="38"/>
        <item x="113"/>
        <item x="357"/>
        <item x="340"/>
        <item x="413"/>
        <item x="104"/>
        <item x="538"/>
        <item x="12"/>
        <item x="209"/>
        <item x="118"/>
        <item x="435"/>
        <item x="391"/>
        <item x="41"/>
        <item x="54"/>
        <item x="552"/>
        <item x="141"/>
        <item x="522"/>
        <item x="212"/>
        <item x="328"/>
        <item x="77"/>
        <item x="23"/>
        <item x="612"/>
        <item x="111"/>
        <item x="374"/>
        <item x="539"/>
        <item x="438"/>
        <item x="320"/>
        <item x="72"/>
        <item x="433"/>
        <item x="412"/>
        <item x="421"/>
        <item x="192"/>
        <item x="275"/>
        <item x="269"/>
        <item x="605"/>
        <item x="165"/>
        <item x="176"/>
        <item x="478"/>
        <item x="452"/>
        <item x="139"/>
        <item x="505"/>
        <item x="578"/>
        <item x="600"/>
        <item x="217"/>
        <item x="645"/>
        <item x="468"/>
        <item x="91"/>
        <item x="609"/>
        <item x="464"/>
        <item x="130"/>
        <item x="137"/>
        <item x="254"/>
        <item x="495"/>
        <item x="200"/>
        <item x="529"/>
        <item x="401"/>
        <item x="597"/>
        <item x="60"/>
        <item x="225"/>
        <item x="457"/>
        <item x="313"/>
        <item x="317"/>
        <item x="564"/>
        <item x="47"/>
        <item x="410"/>
        <item x="268"/>
        <item x="414"/>
        <item x="46"/>
        <item x="573"/>
        <item x="59"/>
        <item x="449"/>
        <item x="191"/>
        <item x="240"/>
        <item x="553"/>
        <item x="608"/>
        <item x="504"/>
        <item x="355"/>
        <item x="637"/>
        <item x="531"/>
        <item x="215"/>
        <item x="527"/>
        <item x="3"/>
        <item x="423"/>
        <item x="420"/>
        <item x="368"/>
        <item x="326"/>
        <item x="430"/>
        <item x="519"/>
        <item x="201"/>
        <item x="20"/>
        <item x="196"/>
        <item x="96"/>
        <item x="138"/>
        <item x="536"/>
        <item x="330"/>
        <item x="548"/>
        <item x="400"/>
        <item x="117"/>
        <item x="384"/>
        <item x="364"/>
        <item x="50"/>
        <item x="168"/>
        <item x="11"/>
        <item x="353"/>
        <item x="81"/>
        <item x="501"/>
        <item x="63"/>
        <item x="252"/>
        <item x="380"/>
        <item x="402"/>
        <item x="293"/>
        <item x="557"/>
        <item x="125"/>
        <item x="120"/>
        <item x="432"/>
        <item x="159"/>
        <item x="647"/>
        <item x="82"/>
        <item x="83"/>
        <item x="169"/>
        <item x="465"/>
        <item x="24"/>
        <item x="342"/>
        <item x="103"/>
        <item x="484"/>
        <item x="153"/>
        <item x="221"/>
        <item x="66"/>
        <item x="136"/>
        <item x="458"/>
        <item x="304"/>
        <item x="511"/>
        <item x="606"/>
        <item x="208"/>
        <item x="68"/>
        <item x="542"/>
        <item x="549"/>
        <item x="290"/>
        <item x="281"/>
        <item x="595"/>
        <item x="396"/>
        <item x="143"/>
        <item x="397"/>
        <item x="277"/>
        <item x="383"/>
        <item x="631"/>
        <item x="565"/>
        <item x="460"/>
        <item x="112"/>
        <item x="71"/>
        <item x="486"/>
        <item x="470"/>
        <item x="323"/>
        <item x="75"/>
        <item x="360"/>
        <item x="283"/>
        <item x="98"/>
        <item x="434"/>
        <item x="158"/>
        <item x="180"/>
        <item x="510"/>
        <item x="105"/>
        <item x="286"/>
        <item x="350"/>
        <item x="151"/>
        <item x="476"/>
        <item x="496"/>
        <item x="524"/>
        <item x="602"/>
        <item x="544"/>
        <item x="296"/>
        <item x="53"/>
        <item x="184"/>
        <item x="480"/>
        <item x="160"/>
        <item x="10"/>
        <item x="576"/>
        <item x="28"/>
        <item x="453"/>
        <item x="591"/>
        <item x="341"/>
        <item x="271"/>
        <item x="652"/>
        <item x="455"/>
        <item x="97"/>
        <item x="17"/>
        <item x="109"/>
        <item x="555"/>
        <item x="610"/>
        <item x="300"/>
        <item x="491"/>
        <item x="292"/>
        <item x="31"/>
        <item x="15"/>
        <item x="163"/>
        <item x="338"/>
        <item x="351"/>
        <item x="310"/>
        <item x="358"/>
        <item x="596"/>
        <item x="8"/>
        <item x="74"/>
        <item x="376"/>
        <item x="205"/>
        <item x="375"/>
        <item x="108"/>
        <item x="267"/>
        <item x="223"/>
        <item x="594"/>
        <item x="42"/>
        <item x="273"/>
        <item x="266"/>
        <item x="354"/>
        <item x="22"/>
        <item x="322"/>
        <item x="604"/>
        <item x="634"/>
        <item x="61"/>
        <item x="630"/>
        <item x="198"/>
        <item x="599"/>
        <item x="190"/>
        <item x="259"/>
        <item x="161"/>
        <item x="546"/>
        <item x="49"/>
        <item x="26"/>
        <item x="446"/>
        <item x="367"/>
        <item x="469"/>
        <item x="274"/>
        <item x="509"/>
        <item x="416"/>
        <item x="52"/>
        <item x="528"/>
        <item x="621"/>
        <item x="403"/>
        <item x="379"/>
        <item x="514"/>
        <item x="298"/>
        <item x="193"/>
        <item x="343"/>
        <item x="5"/>
        <item x="442"/>
        <item x="429"/>
        <item x="173"/>
        <item x="56"/>
        <item x="361"/>
        <item x="258"/>
        <item x="436"/>
        <item x="80"/>
        <item x="513"/>
        <item x="231"/>
        <item x="393"/>
        <item x="276"/>
        <item x="154"/>
        <item x="472"/>
        <item x="398"/>
        <item x="242"/>
        <item x="306"/>
        <item x="295"/>
        <item x="216"/>
        <item x="236"/>
        <item x="145"/>
        <item x="334"/>
        <item x="69"/>
        <item x="248"/>
        <item x="127"/>
        <item x="444"/>
        <item x="411"/>
        <item x="512"/>
        <item x="390"/>
        <item x="518"/>
        <item x="34"/>
        <item x="516"/>
        <item x="640"/>
        <item x="475"/>
        <item x="395"/>
        <item x="618"/>
        <item x="488"/>
        <item x="18"/>
        <item x="249"/>
        <item x="592"/>
        <item x="291"/>
        <item x="589"/>
        <item x="648"/>
        <item x="517"/>
        <item x="447"/>
        <item x="142"/>
        <item x="188"/>
        <item x="336"/>
        <item x="629"/>
        <item x="415"/>
        <item x="73"/>
        <item x="30"/>
        <item x="451"/>
        <item x="424"/>
        <item x="39"/>
        <item x="560"/>
        <item x="572"/>
        <item x="569"/>
        <item x="302"/>
        <item x="229"/>
        <item x="426"/>
        <item x="315"/>
        <item x="408"/>
        <item x="144"/>
        <item x="385"/>
        <item x="175"/>
        <item x="279"/>
        <item x="263"/>
        <item x="633"/>
        <item x="1"/>
        <item x="102"/>
        <item x="386"/>
        <item x="179"/>
        <item x="584"/>
        <item x="566"/>
        <item x="126"/>
        <item x="623"/>
        <item x="366"/>
        <item x="272"/>
        <item x="359"/>
        <item x="489"/>
        <item x="445"/>
        <item x="187"/>
        <item x="537"/>
        <item x="197"/>
        <item x="620"/>
        <item x="352"/>
        <item x="378"/>
        <item x="422"/>
        <item x="333"/>
        <item x="570"/>
        <item x="586"/>
        <item x="508"/>
        <item x="140"/>
        <item x="166"/>
        <item x="579"/>
        <item x="44"/>
        <item x="172"/>
        <item x="503"/>
        <item x="392"/>
        <item x="441"/>
        <item x="461"/>
        <item x="122"/>
        <item x="554"/>
        <item x="329"/>
        <item x="568"/>
        <item x="474"/>
        <item x="499"/>
        <item x="628"/>
        <item x="233"/>
        <item x="207"/>
        <item x="523"/>
        <item x="574"/>
        <item x="19"/>
        <item x="133"/>
        <item x="76"/>
        <item x="251"/>
        <item x="635"/>
        <item x="170"/>
        <item x="324"/>
        <item x="261"/>
        <item x="319"/>
        <item x="377"/>
        <item x="381"/>
        <item x="132"/>
        <item x="65"/>
        <item x="14"/>
        <item x="297"/>
        <item x="7"/>
        <item x="507"/>
        <item x="288"/>
        <item x="466"/>
        <item x="615"/>
        <item x="454"/>
        <item x="440"/>
        <item x="500"/>
        <item x="177"/>
        <item x="345"/>
        <item x="405"/>
        <item x="419"/>
        <item x="463"/>
        <item x="278"/>
        <item x="582"/>
        <item x="284"/>
        <item x="479"/>
        <item x="485"/>
        <item x="294"/>
        <item x="178"/>
        <item x="502"/>
        <item x="534"/>
        <item x="651"/>
        <item x="394"/>
        <item x="590"/>
        <item x="21"/>
        <item x="129"/>
        <item x="89"/>
        <item x="515"/>
        <item x="580"/>
        <item x="487"/>
        <item x="299"/>
        <item x="318"/>
        <item x="45"/>
        <item x="311"/>
        <item x="614"/>
        <item t="default"/>
      </items>
    </pivotField>
  </pivotFields>
  <rowFields count="1">
    <field x="4"/>
  </rowFields>
  <rowItems count="4">
    <i>
      <x/>
    </i>
    <i>
      <x v="1"/>
    </i>
    <i>
      <x v="2"/>
    </i>
    <i t="grand">
      <x/>
    </i>
  </rowItems>
  <colItems count="1">
    <i/>
  </colItems>
  <dataFields count="1">
    <dataField name="Average of IsChurned" fld="9" subtotal="average" baseField="4"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5D3C8CC-6965-4ECE-99BF-279263682807}" sourceName="Gender">
  <pivotTables>
    <pivotTable tabId="2" name="PivotTable4"/>
    <pivotTable tabId="2" name="PivotTable2"/>
    <pivotTable tabId="2" name="PivotTable3"/>
  </pivotTables>
  <data>
    <tabular pivotCacheId="158777366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scriptionType" xr10:uid="{CEC9F40B-4099-4B31-8066-84208472B1CC}" sourceName="SubscriptionType">
  <pivotTables>
    <pivotTable tabId="2" name="PivotTable4"/>
    <pivotTable tabId="2" name="PivotTable2"/>
    <pivotTable tabId="2" name="PivotTable3"/>
  </pivotTables>
  <data>
    <tabular pivotCacheId="1587773661">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2A9AF3DC-083A-491C-B8B4-AC7A44C0627F}" sourceName="Status">
  <pivotTables>
    <pivotTable tabId="2" name="PivotTable4"/>
    <pivotTable tabId="2" name="PivotTable2"/>
    <pivotTable tabId="2" name="PivotTable3"/>
  </pivotTables>
  <data>
    <tabular pivotCacheId="1587773661">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56FD481A-72A3-42C9-BC4E-E4DE6A13AD58}" sourceName="Age">
  <pivotTables>
    <pivotTable tabId="2" name="PivotTable4"/>
    <pivotTable tabId="2" name="PivotTable2"/>
    <pivotTable tabId="2" name="PivotTable3"/>
  </pivotTables>
  <data>
    <tabular pivotCacheId="1587773661">
      <items count="48">
        <i x="43" s="1"/>
        <i x="40" s="1"/>
        <i x="2" s="1"/>
        <i x="9" s="1"/>
        <i x="38" s="1"/>
        <i x="25" s="1"/>
        <i x="23" s="1"/>
        <i x="34" s="1"/>
        <i x="41" s="1"/>
        <i x="30" s="1"/>
        <i x="32" s="1"/>
        <i x="16" s="1"/>
        <i x="35" s="1"/>
        <i x="11" s="1"/>
        <i x="21" s="1"/>
        <i x="27" s="1"/>
        <i x="12" s="1"/>
        <i x="0" s="1"/>
        <i x="18" s="1"/>
        <i x="39" s="1"/>
        <i x="13" s="1"/>
        <i x="1" s="1"/>
        <i x="10" s="1"/>
        <i x="24" s="1"/>
        <i x="26" s="1"/>
        <i x="4" s="1"/>
        <i x="46" s="1"/>
        <i x="29" s="1"/>
        <i x="14" s="1"/>
        <i x="6" s="1"/>
        <i x="45" s="1"/>
        <i x="33" s="1"/>
        <i x="19" s="1"/>
        <i x="5" s="1"/>
        <i x="36" s="1"/>
        <i x="15" s="1"/>
        <i x="22" s="1"/>
        <i x="8" s="1"/>
        <i x="37" s="1"/>
        <i x="7" s="1"/>
        <i x="44" s="1"/>
        <i x="31" s="1"/>
        <i x="17" s="1"/>
        <i x="47" s="1"/>
        <i x="3" s="1"/>
        <i x="28" s="1"/>
        <i x="20" s="1"/>
        <i x="4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27CCD6B0-EEF0-4CE6-BDA7-BAC4EE0B57F6}" cache="Slicer_Gender" caption="Gender" style="SlicerStyleLight6" rowHeight="247650"/>
  <slicer name="SubscriptionType" xr10:uid="{DF5F42BF-979C-4F98-8F1C-AA9A708072F8}" cache="Slicer_SubscriptionType" caption="SubscriptionType" style="SlicerStyleLight6" rowHeight="247650"/>
  <slicer name="Status" xr10:uid="{5DFFC8F9-5F71-438A-8C22-1598C34FB697}" cache="Slicer_Status" caption="Status" style="SlicerStyleLight6" rowHeight="247650"/>
  <slicer name="Age" xr10:uid="{832F9423-E565-42A5-85E6-496F86127723}" cache="Slicer_Age" caption="Age" style="SlicerStyleLight6"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1B8ABC-BDD8-4EA6-B7BB-2C1CAB6E0CF4}" name="customer" displayName="customer" ref="A1:M1001" totalsRowShown="0">
  <autoFilter ref="A1:M1001" xr:uid="{161B8ABC-BDD8-4EA6-B7BB-2C1CAB6E0CF4}"/>
  <tableColumns count="13">
    <tableColumn id="1" xr3:uid="{F980772E-C1CB-47B9-A028-08E19EEB7243}" name="CustomerID"/>
    <tableColumn id="2" xr3:uid="{412F51A3-5252-4F75-9AA6-E9F670A7917A}" name="Name"/>
    <tableColumn id="3" xr3:uid="{6ABF6867-B031-40EF-B8BD-3EC5A705EC2D}" name="Age"/>
    <tableColumn id="4" xr3:uid="{83CEE8B3-0628-423C-95FC-24A64E058644}" name="Gender"/>
    <tableColumn id="5" xr3:uid="{51E12F60-1756-4340-A4DE-C72B5F3A4B93}" name="SubscriptionType"/>
    <tableColumn id="6" xr3:uid="{0C31AF46-9E4A-4797-9909-25C6DCEE432D}" name="SubscriptionDate" dataDxfId="4"/>
    <tableColumn id="7" xr3:uid="{7F86F8C6-6C5C-4E62-970A-C7B8CBEF40FD}" name="LastLoginDate" dataDxfId="3"/>
    <tableColumn id="8" xr3:uid="{E238E3DE-CA24-49DC-B1F7-7C94D3AB93ED}" name="TotalSessions"/>
    <tableColumn id="9" xr3:uid="{D23CCE73-49F8-4128-A4D3-83C43E810C8E}" name="FeedbackScore"/>
    <tableColumn id="10" xr3:uid="{1D988B42-C2FA-481A-8F57-7B2C0ED374D4}" name="IsChurned"/>
    <tableColumn id="11" xr3:uid="{63C67EAC-8379-4A86-854B-A3363ADD8FC7}" name="Status" dataDxfId="2">
      <calculatedColumnFormula>IF(customer[[#This Row],[IsChurned]]=1,"Churned","Active")</calculatedColumnFormula>
    </tableColumn>
    <tableColumn id="12" xr3:uid="{72952C73-5F49-4531-AF90-CD8819935F7C}" name="Month-Year" dataDxfId="1">
      <calculatedColumnFormula>TEXT(customer[[#This Row],[SubscriptionDate]],"mmm-yyyy")</calculatedColumnFormula>
    </tableColumn>
    <tableColumn id="13" xr3:uid="{B49CB0E2-8596-4422-B0BD-A8CC0EA51AB4}" name="Days Since Last Login" dataDxfId="0">
      <calculatedColumnFormula>TODAY()-customer[[#This Row],[LastLoginDate]]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ys_Since_Last_Login" xr10:uid="{DC43B215-CA85-4475-9150-51D4206170DF}" sourceName="Days Since Last Login">
  <pivotTables>
    <pivotTable tabId="2" name="PivotTable4"/>
    <pivotTable tabId="2" name="PivotTable2"/>
    <pivotTable tabId="2" name="PivotTable3"/>
  </pivotTables>
  <state minimalRefreshVersion="6" lastRefreshVersion="6" pivotCacheId="1587773661" filterType="unknown">
    <bounds startDate="1899-12-31T00:00:00" endDate="190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ys Since Last Login" xr10:uid="{0EC174BF-8352-4302-937A-E7AB2B3B44CA}" cache="NativeTimeline_Days_Since_Last_Login" caption="Days Since Last Login" level="2" selectionLevel="2" scrollPosition="1903-08-24T00:00:00" style="TimeSlicerStyleLight6"/>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067BF-C7BE-4A3D-9C5B-BE6A4BB2D1FF}">
  <dimension ref="A1:M1001"/>
  <sheetViews>
    <sheetView topLeftCell="B1" workbookViewId="0">
      <selection activeCell="B6" sqref="B6"/>
    </sheetView>
  </sheetViews>
  <sheetFormatPr defaultRowHeight="14.4" x14ac:dyDescent="0.3"/>
  <cols>
    <col min="1" max="1" width="12.77734375" customWidth="1"/>
    <col min="4" max="4" width="9" customWidth="1"/>
    <col min="5" max="6" width="17.44140625" customWidth="1"/>
    <col min="7" max="7" width="14.5546875" customWidth="1"/>
    <col min="8" max="8" width="14.33203125" customWidth="1"/>
    <col min="9" max="9" width="15.88671875" customWidth="1"/>
    <col min="10" max="10" width="11.33203125" customWidth="1"/>
    <col min="12" max="12" width="10.6640625" bestFit="1" customWidth="1"/>
    <col min="13" max="13" width="20.88671875" bestFit="1" customWidth="1"/>
  </cols>
  <sheetData>
    <row r="1" spans="1:13" x14ac:dyDescent="0.3">
      <c r="A1" t="s">
        <v>0</v>
      </c>
      <c r="B1" t="s">
        <v>1</v>
      </c>
      <c r="C1" t="s">
        <v>2</v>
      </c>
      <c r="D1" t="s">
        <v>3</v>
      </c>
      <c r="E1" t="s">
        <v>4</v>
      </c>
      <c r="F1" t="s">
        <v>5</v>
      </c>
      <c r="G1" t="s">
        <v>6</v>
      </c>
      <c r="H1" t="s">
        <v>7</v>
      </c>
      <c r="I1" t="s">
        <v>8</v>
      </c>
      <c r="J1" t="s">
        <v>9</v>
      </c>
      <c r="K1" t="s">
        <v>1015</v>
      </c>
      <c r="L1" t="s">
        <v>1016</v>
      </c>
      <c r="M1" t="s">
        <v>1017</v>
      </c>
    </row>
    <row r="2" spans="1:13" x14ac:dyDescent="0.3">
      <c r="A2">
        <v>1</v>
      </c>
      <c r="B2" t="s">
        <v>10</v>
      </c>
      <c r="C2">
        <v>35</v>
      </c>
      <c r="D2" t="s">
        <v>11</v>
      </c>
      <c r="E2" t="s">
        <v>12</v>
      </c>
      <c r="F2" s="1">
        <v>45441</v>
      </c>
      <c r="G2" s="1">
        <v>45622</v>
      </c>
      <c r="H2">
        <v>45</v>
      </c>
      <c r="I2">
        <v>2.4</v>
      </c>
      <c r="J2">
        <v>0</v>
      </c>
      <c r="K2" t="str">
        <f>IF(customer[[#This Row],[IsChurned]]=1,"Churned","Active")</f>
        <v>Active</v>
      </c>
      <c r="L2" t="str">
        <f>TEXT(customer[[#This Row],[SubscriptionDate]],"mmm-yyyy")</f>
        <v>May-2024</v>
      </c>
      <c r="M2" s="1">
        <f ca="1">TODAY()-customer[[#This Row],[LastLoginDate]]</f>
        <v>421</v>
      </c>
    </row>
    <row r="3" spans="1:13" x14ac:dyDescent="0.3">
      <c r="A3">
        <v>2</v>
      </c>
      <c r="B3" t="s">
        <v>13</v>
      </c>
      <c r="C3">
        <v>39</v>
      </c>
      <c r="D3" t="s">
        <v>14</v>
      </c>
      <c r="E3" t="s">
        <v>15</v>
      </c>
      <c r="F3" s="1">
        <v>44661</v>
      </c>
      <c r="G3" s="1">
        <v>44841</v>
      </c>
      <c r="H3">
        <v>36</v>
      </c>
      <c r="I3">
        <v>4.0999999999999996</v>
      </c>
      <c r="J3">
        <v>1</v>
      </c>
      <c r="K3" t="str">
        <f>IF(customer[[#This Row],[IsChurned]]=1,"Churned","Active")</f>
        <v>Churned</v>
      </c>
      <c r="L3" t="str">
        <f>TEXT(customer[[#This Row],[SubscriptionDate]],"mmm-yyyy")</f>
        <v>Apr-2022</v>
      </c>
      <c r="M3" s="1">
        <f ca="1">TODAY()-customer[[#This Row],[LastLoginDate]]</f>
        <v>1202</v>
      </c>
    </row>
    <row r="4" spans="1:13" x14ac:dyDescent="0.3">
      <c r="A4">
        <v>3</v>
      </c>
      <c r="B4" t="s">
        <v>16</v>
      </c>
      <c r="C4">
        <v>20</v>
      </c>
      <c r="D4" t="s">
        <v>14</v>
      </c>
      <c r="E4" t="s">
        <v>12</v>
      </c>
      <c r="F4" s="1">
        <v>45122</v>
      </c>
      <c r="G4" s="1">
        <v>45350</v>
      </c>
      <c r="H4">
        <v>332</v>
      </c>
      <c r="I4">
        <v>4.2</v>
      </c>
      <c r="J4">
        <v>0</v>
      </c>
      <c r="K4" t="str">
        <f>IF(customer[[#This Row],[IsChurned]]=1,"Churned","Active")</f>
        <v>Active</v>
      </c>
      <c r="L4" t="str">
        <f>TEXT(customer[[#This Row],[SubscriptionDate]],"mmm-yyyy")</f>
        <v>Jul-2023</v>
      </c>
      <c r="M4" s="1">
        <f ca="1">TODAY()-customer[[#This Row],[LastLoginDate]]</f>
        <v>693</v>
      </c>
    </row>
    <row r="5" spans="1:13" x14ac:dyDescent="0.3">
      <c r="A5">
        <v>4</v>
      </c>
      <c r="B5" t="s">
        <v>17</v>
      </c>
      <c r="C5">
        <v>62</v>
      </c>
      <c r="D5" t="s">
        <v>14</v>
      </c>
      <c r="E5" t="s">
        <v>18</v>
      </c>
      <c r="F5" s="1">
        <v>45033</v>
      </c>
      <c r="G5" s="1">
        <v>45221</v>
      </c>
      <c r="H5">
        <v>167</v>
      </c>
      <c r="I5">
        <v>2.9</v>
      </c>
      <c r="J5">
        <v>1</v>
      </c>
      <c r="K5" t="str">
        <f>IF(customer[[#This Row],[IsChurned]]=1,"Churned","Active")</f>
        <v>Churned</v>
      </c>
      <c r="L5" t="str">
        <f>TEXT(customer[[#This Row],[SubscriptionDate]],"mmm-yyyy")</f>
        <v>Apr-2023</v>
      </c>
      <c r="M5" s="1">
        <f ca="1">TODAY()-customer[[#This Row],[LastLoginDate]]</f>
        <v>822</v>
      </c>
    </row>
    <row r="6" spans="1:13" x14ac:dyDescent="0.3">
      <c r="A6">
        <v>5</v>
      </c>
      <c r="B6" t="s">
        <v>19</v>
      </c>
      <c r="C6">
        <v>39</v>
      </c>
      <c r="D6" t="s">
        <v>11</v>
      </c>
      <c r="E6" t="s">
        <v>18</v>
      </c>
      <c r="F6" s="1">
        <v>45342</v>
      </c>
      <c r="G6" s="1">
        <v>45371</v>
      </c>
      <c r="H6">
        <v>335</v>
      </c>
      <c r="I6">
        <v>2.2000000000000002</v>
      </c>
      <c r="J6">
        <v>1</v>
      </c>
      <c r="K6" t="str">
        <f>IF(customer[[#This Row],[IsChurned]]=1,"Churned","Active")</f>
        <v>Churned</v>
      </c>
      <c r="L6" t="str">
        <f>TEXT(customer[[#This Row],[SubscriptionDate]],"mmm-yyyy")</f>
        <v>Feb-2024</v>
      </c>
      <c r="M6" s="1">
        <f ca="1">TODAY()-customer[[#This Row],[LastLoginDate]]</f>
        <v>672</v>
      </c>
    </row>
    <row r="7" spans="1:13" x14ac:dyDescent="0.3">
      <c r="A7">
        <v>6</v>
      </c>
      <c r="B7" t="s">
        <v>20</v>
      </c>
      <c r="C7">
        <v>35</v>
      </c>
      <c r="D7" t="s">
        <v>11</v>
      </c>
      <c r="E7" t="s">
        <v>18</v>
      </c>
      <c r="F7" s="1">
        <v>44638</v>
      </c>
      <c r="G7" s="1">
        <v>44958</v>
      </c>
      <c r="H7">
        <v>364</v>
      </c>
      <c r="I7">
        <v>3.1</v>
      </c>
      <c r="J7">
        <v>0</v>
      </c>
      <c r="K7" t="str">
        <f>IF(customer[[#This Row],[IsChurned]]=1,"Churned","Active")</f>
        <v>Active</v>
      </c>
      <c r="L7" t="str">
        <f>TEXT(customer[[#This Row],[SubscriptionDate]],"mmm-yyyy")</f>
        <v>Mar-2022</v>
      </c>
      <c r="M7" s="1">
        <f ca="1">TODAY()-customer[[#This Row],[LastLoginDate]]</f>
        <v>1085</v>
      </c>
    </row>
    <row r="8" spans="1:13" x14ac:dyDescent="0.3">
      <c r="A8">
        <v>7</v>
      </c>
      <c r="B8" t="s">
        <v>21</v>
      </c>
      <c r="C8">
        <v>43</v>
      </c>
      <c r="D8" t="s">
        <v>11</v>
      </c>
      <c r="E8" t="s">
        <v>18</v>
      </c>
      <c r="F8" s="1">
        <v>45299</v>
      </c>
      <c r="G8" s="1">
        <v>45426</v>
      </c>
      <c r="H8">
        <v>224</v>
      </c>
      <c r="I8">
        <v>4.4000000000000004</v>
      </c>
      <c r="J8">
        <v>1</v>
      </c>
      <c r="K8" t="str">
        <f>IF(customer[[#This Row],[IsChurned]]=1,"Churned","Active")</f>
        <v>Churned</v>
      </c>
      <c r="L8" t="str">
        <f>TEXT(customer[[#This Row],[SubscriptionDate]],"mmm-yyyy")</f>
        <v>Jan-2024</v>
      </c>
      <c r="M8" s="1">
        <f ca="1">TODAY()-customer[[#This Row],[LastLoginDate]]</f>
        <v>617</v>
      </c>
    </row>
    <row r="9" spans="1:13" x14ac:dyDescent="0.3">
      <c r="A9">
        <v>8</v>
      </c>
      <c r="B9" t="s">
        <v>22</v>
      </c>
      <c r="C9">
        <v>51</v>
      </c>
      <c r="D9" t="s">
        <v>11</v>
      </c>
      <c r="E9" t="s">
        <v>18</v>
      </c>
      <c r="F9" s="1">
        <v>44692</v>
      </c>
      <c r="G9" s="1">
        <v>44729</v>
      </c>
      <c r="H9">
        <v>378</v>
      </c>
      <c r="I9">
        <v>3.8</v>
      </c>
      <c r="J9">
        <v>1</v>
      </c>
      <c r="K9" t="str">
        <f>IF(customer[[#This Row],[IsChurned]]=1,"Churned","Active")</f>
        <v>Churned</v>
      </c>
      <c r="L9" t="str">
        <f>TEXT(customer[[#This Row],[SubscriptionDate]],"mmm-yyyy")</f>
        <v>May-2022</v>
      </c>
      <c r="M9" s="1">
        <f ca="1">TODAY()-customer[[#This Row],[LastLoginDate]]</f>
        <v>1314</v>
      </c>
    </row>
    <row r="10" spans="1:13" x14ac:dyDescent="0.3">
      <c r="A10">
        <v>9</v>
      </c>
      <c r="B10" t="s">
        <v>23</v>
      </c>
      <c r="C10">
        <v>47</v>
      </c>
      <c r="D10" t="s">
        <v>14</v>
      </c>
      <c r="E10" t="s">
        <v>12</v>
      </c>
      <c r="F10" s="1">
        <v>44740</v>
      </c>
      <c r="G10" s="1">
        <v>45025</v>
      </c>
      <c r="H10">
        <v>120</v>
      </c>
      <c r="I10">
        <v>4.7</v>
      </c>
      <c r="J10">
        <v>1</v>
      </c>
      <c r="K10" t="str">
        <f>IF(customer[[#This Row],[IsChurned]]=1,"Churned","Active")</f>
        <v>Churned</v>
      </c>
      <c r="L10" t="str">
        <f>TEXT(customer[[#This Row],[SubscriptionDate]],"mmm-yyyy")</f>
        <v>Jun-2022</v>
      </c>
      <c r="M10" s="1">
        <f ca="1">TODAY()-customer[[#This Row],[LastLoginDate]]</f>
        <v>1018</v>
      </c>
    </row>
    <row r="11" spans="1:13" x14ac:dyDescent="0.3">
      <c r="A11">
        <v>10</v>
      </c>
      <c r="B11" t="s">
        <v>24</v>
      </c>
      <c r="C11">
        <v>35</v>
      </c>
      <c r="D11" t="s">
        <v>11</v>
      </c>
      <c r="E11" t="s">
        <v>12</v>
      </c>
      <c r="F11" s="1">
        <v>45357</v>
      </c>
      <c r="G11" s="1">
        <v>45673</v>
      </c>
      <c r="H11">
        <v>224</v>
      </c>
      <c r="I11">
        <v>1.4</v>
      </c>
      <c r="J11">
        <v>1</v>
      </c>
      <c r="K11" t="str">
        <f>IF(customer[[#This Row],[IsChurned]]=1,"Churned","Active")</f>
        <v>Churned</v>
      </c>
      <c r="L11" t="str">
        <f>TEXT(customer[[#This Row],[SubscriptionDate]],"mmm-yyyy")</f>
        <v>Mar-2024</v>
      </c>
      <c r="M11" s="1">
        <f ca="1">TODAY()-customer[[#This Row],[LastLoginDate]]</f>
        <v>370</v>
      </c>
    </row>
    <row r="12" spans="1:13" x14ac:dyDescent="0.3">
      <c r="A12">
        <v>11</v>
      </c>
      <c r="B12" t="s">
        <v>25</v>
      </c>
      <c r="C12">
        <v>57</v>
      </c>
      <c r="D12" t="s">
        <v>14</v>
      </c>
      <c r="E12" t="s">
        <v>12</v>
      </c>
      <c r="F12" s="1">
        <v>44942</v>
      </c>
      <c r="G12" s="1">
        <v>45068</v>
      </c>
      <c r="H12">
        <v>218</v>
      </c>
      <c r="I12">
        <v>1.3</v>
      </c>
      <c r="J12">
        <v>1</v>
      </c>
      <c r="K12" t="str">
        <f>IF(customer[[#This Row],[IsChurned]]=1,"Churned","Active")</f>
        <v>Churned</v>
      </c>
      <c r="L12" t="str">
        <f>TEXT(customer[[#This Row],[SubscriptionDate]],"mmm-yyyy")</f>
        <v>Jan-2023</v>
      </c>
      <c r="M12" s="1">
        <f ca="1">TODAY()-customer[[#This Row],[LastLoginDate]]</f>
        <v>975</v>
      </c>
    </row>
    <row r="13" spans="1:13" x14ac:dyDescent="0.3">
      <c r="A13">
        <v>12</v>
      </c>
      <c r="B13" t="s">
        <v>26</v>
      </c>
      <c r="C13">
        <v>55</v>
      </c>
      <c r="D13" t="s">
        <v>14</v>
      </c>
      <c r="E13" t="s">
        <v>18</v>
      </c>
      <c r="F13" s="1">
        <v>45150</v>
      </c>
      <c r="G13" s="1">
        <v>45184</v>
      </c>
      <c r="H13">
        <v>191</v>
      </c>
      <c r="I13">
        <v>1.2</v>
      </c>
      <c r="J13">
        <v>0</v>
      </c>
      <c r="K13" t="str">
        <f>IF(customer[[#This Row],[IsChurned]]=1,"Churned","Active")</f>
        <v>Active</v>
      </c>
      <c r="L13" t="str">
        <f>TEXT(customer[[#This Row],[SubscriptionDate]],"mmm-yyyy")</f>
        <v>Aug-2023</v>
      </c>
      <c r="M13" s="1">
        <f ca="1">TODAY()-customer[[#This Row],[LastLoginDate]]</f>
        <v>859</v>
      </c>
    </row>
    <row r="14" spans="1:13" x14ac:dyDescent="0.3">
      <c r="A14">
        <v>13</v>
      </c>
      <c r="B14" t="s">
        <v>27</v>
      </c>
      <c r="C14">
        <v>21</v>
      </c>
      <c r="D14" t="s">
        <v>14</v>
      </c>
      <c r="E14" t="s">
        <v>18</v>
      </c>
      <c r="F14" s="1">
        <v>45179</v>
      </c>
      <c r="G14" s="1">
        <v>45329</v>
      </c>
      <c r="H14">
        <v>319</v>
      </c>
      <c r="I14">
        <v>4</v>
      </c>
      <c r="J14">
        <v>0</v>
      </c>
      <c r="K14" t="str">
        <f>IF(customer[[#This Row],[IsChurned]]=1,"Churned","Active")</f>
        <v>Active</v>
      </c>
      <c r="L14" t="str">
        <f>TEXT(customer[[#This Row],[SubscriptionDate]],"mmm-yyyy")</f>
        <v>Sep-2023</v>
      </c>
      <c r="M14" s="1">
        <f ca="1">TODAY()-customer[[#This Row],[LastLoginDate]]</f>
        <v>714</v>
      </c>
    </row>
    <row r="15" spans="1:13" x14ac:dyDescent="0.3">
      <c r="A15">
        <v>14</v>
      </c>
      <c r="B15" t="s">
        <v>28</v>
      </c>
      <c r="C15">
        <v>40</v>
      </c>
      <c r="D15" t="s">
        <v>14</v>
      </c>
      <c r="E15" t="s">
        <v>15</v>
      </c>
      <c r="F15" s="1">
        <v>45390</v>
      </c>
      <c r="G15" s="1">
        <v>45690</v>
      </c>
      <c r="H15">
        <v>80</v>
      </c>
      <c r="I15">
        <v>2.1</v>
      </c>
      <c r="J15">
        <v>0</v>
      </c>
      <c r="K15" t="str">
        <f>IF(customer[[#This Row],[IsChurned]]=1,"Churned","Active")</f>
        <v>Active</v>
      </c>
      <c r="L15" t="str">
        <f>TEXT(customer[[#This Row],[SubscriptionDate]],"mmm-yyyy")</f>
        <v>Apr-2024</v>
      </c>
      <c r="M15" s="1">
        <f ca="1">TODAY()-customer[[#This Row],[LastLoginDate]]</f>
        <v>353</v>
      </c>
    </row>
    <row r="16" spans="1:13" x14ac:dyDescent="0.3">
      <c r="A16">
        <v>15</v>
      </c>
      <c r="B16" t="s">
        <v>29</v>
      </c>
      <c r="C16">
        <v>31</v>
      </c>
      <c r="D16" t="s">
        <v>11</v>
      </c>
      <c r="E16" t="s">
        <v>15</v>
      </c>
      <c r="F16" s="1">
        <v>44700</v>
      </c>
      <c r="G16" s="1">
        <v>44731</v>
      </c>
      <c r="H16">
        <v>50</v>
      </c>
      <c r="I16">
        <v>4.5</v>
      </c>
      <c r="J16">
        <v>0</v>
      </c>
      <c r="K16" t="str">
        <f>IF(customer[[#This Row],[IsChurned]]=1,"Churned","Active")</f>
        <v>Active</v>
      </c>
      <c r="L16" t="str">
        <f>TEXT(customer[[#This Row],[SubscriptionDate]],"mmm-yyyy")</f>
        <v>May-2022</v>
      </c>
      <c r="M16" s="1">
        <f ca="1">TODAY()-customer[[#This Row],[LastLoginDate]]</f>
        <v>1312</v>
      </c>
    </row>
    <row r="17" spans="1:13" x14ac:dyDescent="0.3">
      <c r="A17">
        <v>16</v>
      </c>
      <c r="B17" t="s">
        <v>30</v>
      </c>
      <c r="C17">
        <v>34</v>
      </c>
      <c r="D17" t="s">
        <v>14</v>
      </c>
      <c r="E17" t="s">
        <v>18</v>
      </c>
      <c r="F17" s="1">
        <v>44694</v>
      </c>
      <c r="G17" s="1">
        <v>45035</v>
      </c>
      <c r="H17">
        <v>400</v>
      </c>
      <c r="I17">
        <v>5</v>
      </c>
      <c r="J17">
        <v>1</v>
      </c>
      <c r="K17" t="str">
        <f>IF(customer[[#This Row],[IsChurned]]=1,"Churned","Active")</f>
        <v>Churned</v>
      </c>
      <c r="L17" t="str">
        <f>TEXT(customer[[#This Row],[SubscriptionDate]],"mmm-yyyy")</f>
        <v>May-2022</v>
      </c>
      <c r="M17" s="1">
        <f ca="1">TODAY()-customer[[#This Row],[LastLoginDate]]</f>
        <v>1008</v>
      </c>
    </row>
    <row r="18" spans="1:13" x14ac:dyDescent="0.3">
      <c r="A18">
        <v>17</v>
      </c>
      <c r="B18" t="s">
        <v>31</v>
      </c>
      <c r="C18">
        <v>38</v>
      </c>
      <c r="D18" t="s">
        <v>11</v>
      </c>
      <c r="E18" t="s">
        <v>18</v>
      </c>
      <c r="F18" s="1">
        <v>45438</v>
      </c>
      <c r="G18" s="1">
        <v>45729</v>
      </c>
      <c r="H18">
        <v>358</v>
      </c>
      <c r="I18">
        <v>1.9</v>
      </c>
      <c r="J18">
        <v>1</v>
      </c>
      <c r="K18" t="str">
        <f>IF(customer[[#This Row],[IsChurned]]=1,"Churned","Active")</f>
        <v>Churned</v>
      </c>
      <c r="L18" t="str">
        <f>TEXT(customer[[#This Row],[SubscriptionDate]],"mmm-yyyy")</f>
        <v>May-2024</v>
      </c>
      <c r="M18" s="1">
        <f ca="1">TODAY()-customer[[#This Row],[LastLoginDate]]</f>
        <v>314</v>
      </c>
    </row>
    <row r="19" spans="1:13" x14ac:dyDescent="0.3">
      <c r="A19">
        <v>18</v>
      </c>
      <c r="B19" t="s">
        <v>32</v>
      </c>
      <c r="C19">
        <v>46</v>
      </c>
      <c r="D19" t="s">
        <v>11</v>
      </c>
      <c r="E19" t="s">
        <v>12</v>
      </c>
      <c r="F19" s="1">
        <v>44829</v>
      </c>
      <c r="G19" s="1">
        <v>45050</v>
      </c>
      <c r="H19">
        <v>344</v>
      </c>
      <c r="I19">
        <v>2.9</v>
      </c>
      <c r="J19">
        <v>0</v>
      </c>
      <c r="K19" t="str">
        <f>IF(customer[[#This Row],[IsChurned]]=1,"Churned","Active")</f>
        <v>Active</v>
      </c>
      <c r="L19" t="str">
        <f>TEXT(customer[[#This Row],[SubscriptionDate]],"mmm-yyyy")</f>
        <v>Sep-2022</v>
      </c>
      <c r="M19" s="1">
        <f ca="1">TODAY()-customer[[#This Row],[LastLoginDate]]</f>
        <v>993</v>
      </c>
    </row>
    <row r="20" spans="1:13" x14ac:dyDescent="0.3">
      <c r="A20">
        <v>19</v>
      </c>
      <c r="B20" t="s">
        <v>33</v>
      </c>
      <c r="C20">
        <v>47</v>
      </c>
      <c r="D20" t="s">
        <v>14</v>
      </c>
      <c r="E20" t="s">
        <v>15</v>
      </c>
      <c r="F20" s="1">
        <v>44668</v>
      </c>
      <c r="G20" s="1">
        <v>44901</v>
      </c>
      <c r="H20">
        <v>190</v>
      </c>
      <c r="I20">
        <v>4.7</v>
      </c>
      <c r="J20">
        <v>0</v>
      </c>
      <c r="K20" t="str">
        <f>IF(customer[[#This Row],[IsChurned]]=1,"Churned","Active")</f>
        <v>Active</v>
      </c>
      <c r="L20" t="str">
        <f>TEXT(customer[[#This Row],[SubscriptionDate]],"mmm-yyyy")</f>
        <v>Apr-2022</v>
      </c>
      <c r="M20" s="1">
        <f ca="1">TODAY()-customer[[#This Row],[LastLoginDate]]</f>
        <v>1142</v>
      </c>
    </row>
    <row r="21" spans="1:13" x14ac:dyDescent="0.3">
      <c r="A21">
        <v>20</v>
      </c>
      <c r="B21" t="s">
        <v>34</v>
      </c>
      <c r="C21">
        <v>53</v>
      </c>
      <c r="D21" t="s">
        <v>14</v>
      </c>
      <c r="E21" t="s">
        <v>18</v>
      </c>
      <c r="F21" s="1">
        <v>44706</v>
      </c>
      <c r="G21" s="1">
        <v>44759</v>
      </c>
      <c r="H21">
        <v>220</v>
      </c>
      <c r="I21">
        <v>1.3</v>
      </c>
      <c r="J21">
        <v>0</v>
      </c>
      <c r="K21" t="str">
        <f>IF(customer[[#This Row],[IsChurned]]=1,"Churned","Active")</f>
        <v>Active</v>
      </c>
      <c r="L21" t="str">
        <f>TEXT(customer[[#This Row],[SubscriptionDate]],"mmm-yyyy")</f>
        <v>May-2022</v>
      </c>
      <c r="M21" s="1">
        <f ca="1">TODAY()-customer[[#This Row],[LastLoginDate]]</f>
        <v>1284</v>
      </c>
    </row>
    <row r="22" spans="1:13" x14ac:dyDescent="0.3">
      <c r="A22">
        <v>21</v>
      </c>
      <c r="B22" t="s">
        <v>35</v>
      </c>
      <c r="C22">
        <v>29</v>
      </c>
      <c r="D22" t="s">
        <v>14</v>
      </c>
      <c r="E22" t="s">
        <v>18</v>
      </c>
      <c r="F22" s="1">
        <v>45196</v>
      </c>
      <c r="G22" s="1">
        <v>45210</v>
      </c>
      <c r="H22">
        <v>184</v>
      </c>
      <c r="I22">
        <v>1.7</v>
      </c>
      <c r="J22">
        <v>0</v>
      </c>
      <c r="K22" t="str">
        <f>IF(customer[[#This Row],[IsChurned]]=1,"Churned","Active")</f>
        <v>Active</v>
      </c>
      <c r="L22" t="str">
        <f>TEXT(customer[[#This Row],[SubscriptionDate]],"mmm-yyyy")</f>
        <v>Sep-2023</v>
      </c>
      <c r="M22" s="1">
        <f ca="1">TODAY()-customer[[#This Row],[LastLoginDate]]</f>
        <v>833</v>
      </c>
    </row>
    <row r="23" spans="1:13" x14ac:dyDescent="0.3">
      <c r="A23">
        <v>22</v>
      </c>
      <c r="B23" t="s">
        <v>36</v>
      </c>
      <c r="C23">
        <v>60</v>
      </c>
      <c r="D23" t="s">
        <v>14</v>
      </c>
      <c r="E23" t="s">
        <v>12</v>
      </c>
      <c r="F23" s="1">
        <v>44598</v>
      </c>
      <c r="G23" s="1">
        <v>44639</v>
      </c>
      <c r="H23">
        <v>219</v>
      </c>
      <c r="I23">
        <v>1.9</v>
      </c>
      <c r="J23">
        <v>1</v>
      </c>
      <c r="K23" t="str">
        <f>IF(customer[[#This Row],[IsChurned]]=1,"Churned","Active")</f>
        <v>Churned</v>
      </c>
      <c r="L23" t="str">
        <f>TEXT(customer[[#This Row],[SubscriptionDate]],"mmm-yyyy")</f>
        <v>Feb-2022</v>
      </c>
      <c r="M23" s="1">
        <f ca="1">TODAY()-customer[[#This Row],[LastLoginDate]]</f>
        <v>1404</v>
      </c>
    </row>
    <row r="24" spans="1:13" x14ac:dyDescent="0.3">
      <c r="A24">
        <v>23</v>
      </c>
      <c r="B24" t="s">
        <v>37</v>
      </c>
      <c r="C24">
        <v>36</v>
      </c>
      <c r="D24" t="s">
        <v>14</v>
      </c>
      <c r="E24" t="s">
        <v>15</v>
      </c>
      <c r="F24" s="1">
        <v>44807</v>
      </c>
      <c r="G24" s="1">
        <v>45003</v>
      </c>
      <c r="H24">
        <v>140</v>
      </c>
      <c r="I24">
        <v>4.2</v>
      </c>
      <c r="J24">
        <v>0</v>
      </c>
      <c r="K24" t="str">
        <f>IF(customer[[#This Row],[IsChurned]]=1,"Churned","Active")</f>
        <v>Active</v>
      </c>
      <c r="L24" t="str">
        <f>TEXT(customer[[#This Row],[SubscriptionDate]],"mmm-yyyy")</f>
        <v>Sep-2022</v>
      </c>
      <c r="M24" s="1">
        <f ca="1">TODAY()-customer[[#This Row],[LastLoginDate]]</f>
        <v>1040</v>
      </c>
    </row>
    <row r="25" spans="1:13" x14ac:dyDescent="0.3">
      <c r="A25">
        <v>24</v>
      </c>
      <c r="B25" t="s">
        <v>38</v>
      </c>
      <c r="C25">
        <v>34</v>
      </c>
      <c r="D25" t="s">
        <v>11</v>
      </c>
      <c r="E25" t="s">
        <v>15</v>
      </c>
      <c r="F25" s="1">
        <v>45049</v>
      </c>
      <c r="G25" s="1">
        <v>45311</v>
      </c>
      <c r="H25">
        <v>420</v>
      </c>
      <c r="I25">
        <v>1.2</v>
      </c>
      <c r="J25">
        <v>1</v>
      </c>
      <c r="K25" t="str">
        <f>IF(customer[[#This Row],[IsChurned]]=1,"Churned","Active")</f>
        <v>Churned</v>
      </c>
      <c r="L25" t="str">
        <f>TEXT(customer[[#This Row],[SubscriptionDate]],"mmm-yyyy")</f>
        <v>May-2023</v>
      </c>
      <c r="M25" s="1">
        <f ca="1">TODAY()-customer[[#This Row],[LastLoginDate]]</f>
        <v>732</v>
      </c>
    </row>
    <row r="26" spans="1:13" x14ac:dyDescent="0.3">
      <c r="A26">
        <v>25</v>
      </c>
      <c r="B26" t="s">
        <v>39</v>
      </c>
      <c r="C26">
        <v>29</v>
      </c>
      <c r="D26" t="s">
        <v>11</v>
      </c>
      <c r="E26" t="s">
        <v>18</v>
      </c>
      <c r="F26" s="1">
        <v>45061</v>
      </c>
      <c r="G26" s="1">
        <v>45147</v>
      </c>
      <c r="H26">
        <v>390</v>
      </c>
      <c r="I26">
        <v>1.4</v>
      </c>
      <c r="J26">
        <v>1</v>
      </c>
      <c r="K26" t="str">
        <f>IF(customer[[#This Row],[IsChurned]]=1,"Churned","Active")</f>
        <v>Churned</v>
      </c>
      <c r="L26" t="str">
        <f>TEXT(customer[[#This Row],[SubscriptionDate]],"mmm-yyyy")</f>
        <v>May-2023</v>
      </c>
      <c r="M26" s="1">
        <f ca="1">TODAY()-customer[[#This Row],[LastLoginDate]]</f>
        <v>896</v>
      </c>
    </row>
    <row r="27" spans="1:13" x14ac:dyDescent="0.3">
      <c r="A27">
        <v>26</v>
      </c>
      <c r="B27" t="s">
        <v>40</v>
      </c>
      <c r="C27">
        <v>20</v>
      </c>
      <c r="D27" t="s">
        <v>11</v>
      </c>
      <c r="E27" t="s">
        <v>18</v>
      </c>
      <c r="F27" s="1">
        <v>45062</v>
      </c>
      <c r="G27" s="1">
        <v>45344</v>
      </c>
      <c r="H27">
        <v>148</v>
      </c>
      <c r="I27">
        <v>3.6</v>
      </c>
      <c r="J27">
        <v>1</v>
      </c>
      <c r="K27" t="str">
        <f>IF(customer[[#This Row],[IsChurned]]=1,"Churned","Active")</f>
        <v>Churned</v>
      </c>
      <c r="L27" t="str">
        <f>TEXT(customer[[#This Row],[SubscriptionDate]],"mmm-yyyy")</f>
        <v>May-2023</v>
      </c>
      <c r="M27" s="1">
        <f ca="1">TODAY()-customer[[#This Row],[LastLoginDate]]</f>
        <v>699</v>
      </c>
    </row>
    <row r="28" spans="1:13" x14ac:dyDescent="0.3">
      <c r="A28">
        <v>27</v>
      </c>
      <c r="B28" t="s">
        <v>41</v>
      </c>
      <c r="C28">
        <v>35</v>
      </c>
      <c r="D28" t="s">
        <v>11</v>
      </c>
      <c r="E28" t="s">
        <v>12</v>
      </c>
      <c r="F28" s="1">
        <v>44724</v>
      </c>
      <c r="G28" s="1">
        <v>44983</v>
      </c>
      <c r="H28">
        <v>96</v>
      </c>
      <c r="I28">
        <v>1</v>
      </c>
      <c r="J28">
        <v>0</v>
      </c>
      <c r="K28" t="str">
        <f>IF(customer[[#This Row],[IsChurned]]=1,"Churned","Active")</f>
        <v>Active</v>
      </c>
      <c r="L28" t="str">
        <f>TEXT(customer[[#This Row],[SubscriptionDate]],"mmm-yyyy")</f>
        <v>Jun-2022</v>
      </c>
      <c r="M28" s="1">
        <f ca="1">TODAY()-customer[[#This Row],[LastLoginDate]]</f>
        <v>1060</v>
      </c>
    </row>
    <row r="29" spans="1:13" x14ac:dyDescent="0.3">
      <c r="A29">
        <v>28</v>
      </c>
      <c r="B29" t="s">
        <v>42</v>
      </c>
      <c r="C29">
        <v>50</v>
      </c>
      <c r="D29" t="s">
        <v>11</v>
      </c>
      <c r="E29" t="s">
        <v>15</v>
      </c>
      <c r="F29" s="1">
        <v>45328</v>
      </c>
      <c r="G29" s="1">
        <v>45360</v>
      </c>
      <c r="H29">
        <v>357</v>
      </c>
      <c r="I29">
        <v>2.2000000000000002</v>
      </c>
      <c r="J29">
        <v>0</v>
      </c>
      <c r="K29" t="str">
        <f>IF(customer[[#This Row],[IsChurned]]=1,"Churned","Active")</f>
        <v>Active</v>
      </c>
      <c r="L29" t="str">
        <f>TEXT(customer[[#This Row],[SubscriptionDate]],"mmm-yyyy")</f>
        <v>Feb-2024</v>
      </c>
      <c r="M29" s="1">
        <f ca="1">TODAY()-customer[[#This Row],[LastLoginDate]]</f>
        <v>683</v>
      </c>
    </row>
    <row r="30" spans="1:13" x14ac:dyDescent="0.3">
      <c r="A30">
        <v>29</v>
      </c>
      <c r="B30" t="s">
        <v>43</v>
      </c>
      <c r="C30">
        <v>64</v>
      </c>
      <c r="D30" t="s">
        <v>14</v>
      </c>
      <c r="E30" t="s">
        <v>12</v>
      </c>
      <c r="F30" s="1">
        <v>45028</v>
      </c>
      <c r="G30" s="1">
        <v>45344</v>
      </c>
      <c r="H30">
        <v>388</v>
      </c>
      <c r="I30">
        <v>2</v>
      </c>
      <c r="J30">
        <v>0</v>
      </c>
      <c r="K30" t="str">
        <f>IF(customer[[#This Row],[IsChurned]]=1,"Churned","Active")</f>
        <v>Active</v>
      </c>
      <c r="L30" t="str">
        <f>TEXT(customer[[#This Row],[SubscriptionDate]],"mmm-yyyy")</f>
        <v>Apr-2023</v>
      </c>
      <c r="M30" s="1">
        <f ca="1">TODAY()-customer[[#This Row],[LastLoginDate]]</f>
        <v>699</v>
      </c>
    </row>
    <row r="31" spans="1:13" x14ac:dyDescent="0.3">
      <c r="A31">
        <v>30</v>
      </c>
      <c r="B31" t="s">
        <v>44</v>
      </c>
      <c r="C31">
        <v>55</v>
      </c>
      <c r="D31" t="s">
        <v>14</v>
      </c>
      <c r="E31" t="s">
        <v>15</v>
      </c>
      <c r="F31" s="1">
        <v>44711</v>
      </c>
      <c r="G31" s="1">
        <v>45064</v>
      </c>
      <c r="H31">
        <v>185</v>
      </c>
      <c r="I31">
        <v>2.6</v>
      </c>
      <c r="J31">
        <v>0</v>
      </c>
      <c r="K31" t="str">
        <f>IF(customer[[#This Row],[IsChurned]]=1,"Churned","Active")</f>
        <v>Active</v>
      </c>
      <c r="L31" t="str">
        <f>TEXT(customer[[#This Row],[SubscriptionDate]],"mmm-yyyy")</f>
        <v>May-2022</v>
      </c>
      <c r="M31" s="1">
        <f ca="1">TODAY()-customer[[#This Row],[LastLoginDate]]</f>
        <v>979</v>
      </c>
    </row>
    <row r="32" spans="1:13" x14ac:dyDescent="0.3">
      <c r="A32">
        <v>31</v>
      </c>
      <c r="B32" t="s">
        <v>45</v>
      </c>
      <c r="C32">
        <v>20</v>
      </c>
      <c r="D32" t="s">
        <v>14</v>
      </c>
      <c r="E32" t="s">
        <v>18</v>
      </c>
      <c r="F32" s="1">
        <v>45438</v>
      </c>
      <c r="G32" s="1">
        <v>45707</v>
      </c>
      <c r="H32">
        <v>284</v>
      </c>
      <c r="I32">
        <v>3.5</v>
      </c>
      <c r="J32">
        <v>1</v>
      </c>
      <c r="K32" t="str">
        <f>IF(customer[[#This Row],[IsChurned]]=1,"Churned","Active")</f>
        <v>Churned</v>
      </c>
      <c r="L32" t="str">
        <f>TEXT(customer[[#This Row],[SubscriptionDate]],"mmm-yyyy")</f>
        <v>May-2024</v>
      </c>
      <c r="M32" s="1">
        <f ca="1">TODAY()-customer[[#This Row],[LastLoginDate]]</f>
        <v>336</v>
      </c>
    </row>
    <row r="33" spans="1:13" x14ac:dyDescent="0.3">
      <c r="A33">
        <v>32</v>
      </c>
      <c r="B33" t="s">
        <v>46</v>
      </c>
      <c r="C33">
        <v>40</v>
      </c>
      <c r="D33" t="s">
        <v>11</v>
      </c>
      <c r="E33" t="s">
        <v>18</v>
      </c>
      <c r="F33" s="1">
        <v>44832</v>
      </c>
      <c r="G33" s="1">
        <v>44875</v>
      </c>
      <c r="H33">
        <v>435</v>
      </c>
      <c r="I33">
        <v>5</v>
      </c>
      <c r="J33">
        <v>0</v>
      </c>
      <c r="K33" t="str">
        <f>IF(customer[[#This Row],[IsChurned]]=1,"Churned","Active")</f>
        <v>Active</v>
      </c>
      <c r="L33" t="str">
        <f>TEXT(customer[[#This Row],[SubscriptionDate]],"mmm-yyyy")</f>
        <v>Sep-2022</v>
      </c>
      <c r="M33" s="1">
        <f ca="1">TODAY()-customer[[#This Row],[LastLoginDate]]</f>
        <v>1168</v>
      </c>
    </row>
    <row r="34" spans="1:13" x14ac:dyDescent="0.3">
      <c r="A34">
        <v>33</v>
      </c>
      <c r="B34" t="s">
        <v>47</v>
      </c>
      <c r="C34">
        <v>60</v>
      </c>
      <c r="D34" t="s">
        <v>14</v>
      </c>
      <c r="E34" t="s">
        <v>15</v>
      </c>
      <c r="F34" s="1">
        <v>44702</v>
      </c>
      <c r="G34" s="1">
        <v>45037</v>
      </c>
      <c r="H34">
        <v>391</v>
      </c>
      <c r="I34">
        <v>4.5999999999999996</v>
      </c>
      <c r="J34">
        <v>0</v>
      </c>
      <c r="K34" t="str">
        <f>IF(customer[[#This Row],[IsChurned]]=1,"Churned","Active")</f>
        <v>Active</v>
      </c>
      <c r="L34" t="str">
        <f>TEXT(customer[[#This Row],[SubscriptionDate]],"mmm-yyyy")</f>
        <v>May-2022</v>
      </c>
      <c r="M34" s="1">
        <f ca="1">TODAY()-customer[[#This Row],[LastLoginDate]]</f>
        <v>1006</v>
      </c>
    </row>
    <row r="35" spans="1:13" x14ac:dyDescent="0.3">
      <c r="A35">
        <v>34</v>
      </c>
      <c r="B35" t="s">
        <v>48</v>
      </c>
      <c r="C35">
        <v>20</v>
      </c>
      <c r="D35" t="s">
        <v>11</v>
      </c>
      <c r="E35" t="s">
        <v>12</v>
      </c>
      <c r="F35" s="1">
        <v>45312</v>
      </c>
      <c r="G35" s="1">
        <v>45648</v>
      </c>
      <c r="H35">
        <v>96</v>
      </c>
      <c r="I35">
        <v>2</v>
      </c>
      <c r="J35">
        <v>1</v>
      </c>
      <c r="K35" t="str">
        <f>IF(customer[[#This Row],[IsChurned]]=1,"Churned","Active")</f>
        <v>Churned</v>
      </c>
      <c r="L35" t="str">
        <f>TEXT(customer[[#This Row],[SubscriptionDate]],"mmm-yyyy")</f>
        <v>Jan-2024</v>
      </c>
      <c r="M35" s="1">
        <f ca="1">TODAY()-customer[[#This Row],[LastLoginDate]]</f>
        <v>395</v>
      </c>
    </row>
    <row r="36" spans="1:13" x14ac:dyDescent="0.3">
      <c r="A36">
        <v>35</v>
      </c>
      <c r="B36" t="s">
        <v>49</v>
      </c>
      <c r="C36">
        <v>32</v>
      </c>
      <c r="D36" t="s">
        <v>11</v>
      </c>
      <c r="E36" t="s">
        <v>18</v>
      </c>
      <c r="F36" s="1">
        <v>45306</v>
      </c>
      <c r="G36" s="1">
        <v>45412</v>
      </c>
      <c r="H36">
        <v>84</v>
      </c>
      <c r="I36">
        <v>2.1</v>
      </c>
      <c r="J36">
        <v>1</v>
      </c>
      <c r="K36" t="str">
        <f>IF(customer[[#This Row],[IsChurned]]=1,"Churned","Active")</f>
        <v>Churned</v>
      </c>
      <c r="L36" t="str">
        <f>TEXT(customer[[#This Row],[SubscriptionDate]],"mmm-yyyy")</f>
        <v>Jan-2024</v>
      </c>
      <c r="M36" s="1">
        <f ca="1">TODAY()-customer[[#This Row],[LastLoginDate]]</f>
        <v>631</v>
      </c>
    </row>
    <row r="37" spans="1:13" x14ac:dyDescent="0.3">
      <c r="A37">
        <v>36</v>
      </c>
      <c r="B37" t="s">
        <v>50</v>
      </c>
      <c r="C37">
        <v>54</v>
      </c>
      <c r="D37" t="s">
        <v>14</v>
      </c>
      <c r="E37" t="s">
        <v>12</v>
      </c>
      <c r="F37" s="1">
        <v>44817</v>
      </c>
      <c r="G37" s="1">
        <v>44910</v>
      </c>
      <c r="H37">
        <v>94</v>
      </c>
      <c r="I37">
        <v>1.4</v>
      </c>
      <c r="J37">
        <v>1</v>
      </c>
      <c r="K37" t="str">
        <f>IF(customer[[#This Row],[IsChurned]]=1,"Churned","Active")</f>
        <v>Churned</v>
      </c>
      <c r="L37" t="str">
        <f>TEXT(customer[[#This Row],[SubscriptionDate]],"mmm-yyyy")</f>
        <v>Sep-2022</v>
      </c>
      <c r="M37" s="1">
        <f ca="1">TODAY()-customer[[#This Row],[LastLoginDate]]</f>
        <v>1133</v>
      </c>
    </row>
    <row r="38" spans="1:13" x14ac:dyDescent="0.3">
      <c r="A38">
        <v>37</v>
      </c>
      <c r="B38" t="s">
        <v>51</v>
      </c>
      <c r="C38">
        <v>24</v>
      </c>
      <c r="D38" t="s">
        <v>11</v>
      </c>
      <c r="E38" t="s">
        <v>15</v>
      </c>
      <c r="F38" s="1">
        <v>45106</v>
      </c>
      <c r="G38" s="1">
        <v>45461</v>
      </c>
      <c r="H38">
        <v>205</v>
      </c>
      <c r="I38">
        <v>1.7</v>
      </c>
      <c r="J38">
        <v>1</v>
      </c>
      <c r="K38" t="str">
        <f>IF(customer[[#This Row],[IsChurned]]=1,"Churned","Active")</f>
        <v>Churned</v>
      </c>
      <c r="L38" t="str">
        <f>TEXT(customer[[#This Row],[SubscriptionDate]],"mmm-yyyy")</f>
        <v>Jun-2023</v>
      </c>
      <c r="M38" s="1">
        <f ca="1">TODAY()-customer[[#This Row],[LastLoginDate]]</f>
        <v>582</v>
      </c>
    </row>
    <row r="39" spans="1:13" x14ac:dyDescent="0.3">
      <c r="A39">
        <v>38</v>
      </c>
      <c r="B39" t="s">
        <v>52</v>
      </c>
      <c r="C39">
        <v>41</v>
      </c>
      <c r="D39" t="s">
        <v>14</v>
      </c>
      <c r="E39" t="s">
        <v>12</v>
      </c>
      <c r="F39" s="1">
        <v>45131</v>
      </c>
      <c r="G39" s="1">
        <v>45430</v>
      </c>
      <c r="H39">
        <v>160</v>
      </c>
      <c r="I39">
        <v>1.3</v>
      </c>
      <c r="J39">
        <v>0</v>
      </c>
      <c r="K39" t="str">
        <f>IF(customer[[#This Row],[IsChurned]]=1,"Churned","Active")</f>
        <v>Active</v>
      </c>
      <c r="L39" t="str">
        <f>TEXT(customer[[#This Row],[SubscriptionDate]],"mmm-yyyy")</f>
        <v>Jul-2023</v>
      </c>
      <c r="M39" s="1">
        <f ca="1">TODAY()-customer[[#This Row],[LastLoginDate]]</f>
        <v>613</v>
      </c>
    </row>
    <row r="40" spans="1:13" x14ac:dyDescent="0.3">
      <c r="A40">
        <v>39</v>
      </c>
      <c r="B40" t="s">
        <v>53</v>
      </c>
      <c r="C40">
        <v>23</v>
      </c>
      <c r="D40" t="s">
        <v>11</v>
      </c>
      <c r="E40" t="s">
        <v>18</v>
      </c>
      <c r="F40" s="1">
        <v>45292</v>
      </c>
      <c r="G40" s="1">
        <v>45583</v>
      </c>
      <c r="H40">
        <v>88</v>
      </c>
      <c r="I40">
        <v>3.6</v>
      </c>
      <c r="J40">
        <v>1</v>
      </c>
      <c r="K40" t="str">
        <f>IF(customer[[#This Row],[IsChurned]]=1,"Churned","Active")</f>
        <v>Churned</v>
      </c>
      <c r="L40" t="str">
        <f>TEXT(customer[[#This Row],[SubscriptionDate]],"mmm-yyyy")</f>
        <v>Jan-2024</v>
      </c>
      <c r="M40" s="1">
        <f ca="1">TODAY()-customer[[#This Row],[LastLoginDate]]</f>
        <v>460</v>
      </c>
    </row>
    <row r="41" spans="1:13" x14ac:dyDescent="0.3">
      <c r="A41">
        <v>40</v>
      </c>
      <c r="B41" t="s">
        <v>54</v>
      </c>
      <c r="C41">
        <v>50</v>
      </c>
      <c r="D41" t="s">
        <v>11</v>
      </c>
      <c r="E41" t="s">
        <v>12</v>
      </c>
      <c r="F41" s="1">
        <v>45302</v>
      </c>
      <c r="G41" s="1">
        <v>45341</v>
      </c>
      <c r="H41">
        <v>283</v>
      </c>
      <c r="I41">
        <v>2.4</v>
      </c>
      <c r="J41">
        <v>0</v>
      </c>
      <c r="K41" t="str">
        <f>IF(customer[[#This Row],[IsChurned]]=1,"Churned","Active")</f>
        <v>Active</v>
      </c>
      <c r="L41" t="str">
        <f>TEXT(customer[[#This Row],[SubscriptionDate]],"mmm-yyyy")</f>
        <v>Jan-2024</v>
      </c>
      <c r="M41" s="1">
        <f ca="1">TODAY()-customer[[#This Row],[LastLoginDate]]</f>
        <v>702</v>
      </c>
    </row>
    <row r="42" spans="1:13" x14ac:dyDescent="0.3">
      <c r="A42">
        <v>41</v>
      </c>
      <c r="B42" t="s">
        <v>55</v>
      </c>
      <c r="C42">
        <v>40</v>
      </c>
      <c r="D42" t="s">
        <v>14</v>
      </c>
      <c r="E42" t="s">
        <v>12</v>
      </c>
      <c r="F42" s="1">
        <v>44841</v>
      </c>
      <c r="G42" s="1">
        <v>44869</v>
      </c>
      <c r="H42">
        <v>233</v>
      </c>
      <c r="I42">
        <v>3.3</v>
      </c>
      <c r="J42">
        <v>1</v>
      </c>
      <c r="K42" t="str">
        <f>IF(customer[[#This Row],[IsChurned]]=1,"Churned","Active")</f>
        <v>Churned</v>
      </c>
      <c r="L42" t="str">
        <f>TEXT(customer[[#This Row],[SubscriptionDate]],"mmm-yyyy")</f>
        <v>Oct-2022</v>
      </c>
      <c r="M42" s="1">
        <f ca="1">TODAY()-customer[[#This Row],[LastLoginDate]]</f>
        <v>1174</v>
      </c>
    </row>
    <row r="43" spans="1:13" x14ac:dyDescent="0.3">
      <c r="A43">
        <v>42</v>
      </c>
      <c r="B43" t="s">
        <v>56</v>
      </c>
      <c r="C43">
        <v>42</v>
      </c>
      <c r="D43" t="s">
        <v>14</v>
      </c>
      <c r="E43" t="s">
        <v>12</v>
      </c>
      <c r="F43" s="1">
        <v>45311</v>
      </c>
      <c r="G43" s="1">
        <v>45657</v>
      </c>
      <c r="H43">
        <v>249</v>
      </c>
      <c r="I43">
        <v>4.4000000000000004</v>
      </c>
      <c r="J43">
        <v>1</v>
      </c>
      <c r="K43" t="str">
        <f>IF(customer[[#This Row],[IsChurned]]=1,"Churned","Active")</f>
        <v>Churned</v>
      </c>
      <c r="L43" t="str">
        <f>TEXT(customer[[#This Row],[SubscriptionDate]],"mmm-yyyy")</f>
        <v>Jan-2024</v>
      </c>
      <c r="M43" s="1">
        <f ca="1">TODAY()-customer[[#This Row],[LastLoginDate]]</f>
        <v>386</v>
      </c>
    </row>
    <row r="44" spans="1:13" x14ac:dyDescent="0.3">
      <c r="A44">
        <v>43</v>
      </c>
      <c r="B44" t="s">
        <v>57</v>
      </c>
      <c r="C44">
        <v>33</v>
      </c>
      <c r="D44" t="s">
        <v>11</v>
      </c>
      <c r="E44" t="s">
        <v>18</v>
      </c>
      <c r="F44" s="1">
        <v>45234</v>
      </c>
      <c r="G44" s="1">
        <v>45321</v>
      </c>
      <c r="H44">
        <v>479</v>
      </c>
      <c r="I44">
        <v>1.2</v>
      </c>
      <c r="J44">
        <v>0</v>
      </c>
      <c r="K44" t="str">
        <f>IF(customer[[#This Row],[IsChurned]]=1,"Churned","Active")</f>
        <v>Active</v>
      </c>
      <c r="L44" t="str">
        <f>TEXT(customer[[#This Row],[SubscriptionDate]],"mmm-yyyy")</f>
        <v>Nov-2023</v>
      </c>
      <c r="M44" s="1">
        <f ca="1">TODAY()-customer[[#This Row],[LastLoginDate]]</f>
        <v>722</v>
      </c>
    </row>
    <row r="45" spans="1:13" x14ac:dyDescent="0.3">
      <c r="A45">
        <v>44</v>
      </c>
      <c r="B45" t="s">
        <v>58</v>
      </c>
      <c r="C45">
        <v>20</v>
      </c>
      <c r="D45" t="s">
        <v>14</v>
      </c>
      <c r="E45" t="s">
        <v>12</v>
      </c>
      <c r="F45" s="1">
        <v>44974</v>
      </c>
      <c r="G45" s="1">
        <v>45011</v>
      </c>
      <c r="H45">
        <v>18</v>
      </c>
      <c r="I45">
        <v>4.7</v>
      </c>
      <c r="J45">
        <v>0</v>
      </c>
      <c r="K45" t="str">
        <f>IF(customer[[#This Row],[IsChurned]]=1,"Churned","Active")</f>
        <v>Active</v>
      </c>
      <c r="L45" t="str">
        <f>TEXT(customer[[#This Row],[SubscriptionDate]],"mmm-yyyy")</f>
        <v>Feb-2023</v>
      </c>
      <c r="M45" s="1">
        <f ca="1">TODAY()-customer[[#This Row],[LastLoginDate]]</f>
        <v>1032</v>
      </c>
    </row>
    <row r="46" spans="1:13" x14ac:dyDescent="0.3">
      <c r="A46">
        <v>45</v>
      </c>
      <c r="B46" t="s">
        <v>59</v>
      </c>
      <c r="C46">
        <v>36</v>
      </c>
      <c r="D46" t="s">
        <v>11</v>
      </c>
      <c r="E46" t="s">
        <v>18</v>
      </c>
      <c r="F46" s="1">
        <v>45277</v>
      </c>
      <c r="G46" s="1">
        <v>45628</v>
      </c>
      <c r="H46">
        <v>265</v>
      </c>
      <c r="I46">
        <v>4.3</v>
      </c>
      <c r="J46">
        <v>1</v>
      </c>
      <c r="K46" t="str">
        <f>IF(customer[[#This Row],[IsChurned]]=1,"Churned","Active")</f>
        <v>Churned</v>
      </c>
      <c r="L46" t="str">
        <f>TEXT(customer[[#This Row],[SubscriptionDate]],"mmm-yyyy")</f>
        <v>Dec-2023</v>
      </c>
      <c r="M46" s="1">
        <f ca="1">TODAY()-customer[[#This Row],[LastLoginDate]]</f>
        <v>415</v>
      </c>
    </row>
    <row r="47" spans="1:13" x14ac:dyDescent="0.3">
      <c r="A47">
        <v>46</v>
      </c>
      <c r="B47" t="s">
        <v>60</v>
      </c>
      <c r="C47">
        <v>63</v>
      </c>
      <c r="D47" t="s">
        <v>14</v>
      </c>
      <c r="E47" t="s">
        <v>15</v>
      </c>
      <c r="F47" s="1">
        <v>44586</v>
      </c>
      <c r="G47" s="1">
        <v>44794</v>
      </c>
      <c r="H47">
        <v>350</v>
      </c>
      <c r="I47">
        <v>2.7</v>
      </c>
      <c r="J47">
        <v>1</v>
      </c>
      <c r="K47" t="str">
        <f>IF(customer[[#This Row],[IsChurned]]=1,"Churned","Active")</f>
        <v>Churned</v>
      </c>
      <c r="L47" t="str">
        <f>TEXT(customer[[#This Row],[SubscriptionDate]],"mmm-yyyy")</f>
        <v>Jan-2022</v>
      </c>
      <c r="M47" s="1">
        <f ca="1">TODAY()-customer[[#This Row],[LastLoginDate]]</f>
        <v>1249</v>
      </c>
    </row>
    <row r="48" spans="1:13" x14ac:dyDescent="0.3">
      <c r="A48">
        <v>47</v>
      </c>
      <c r="B48" t="s">
        <v>61</v>
      </c>
      <c r="C48">
        <v>29</v>
      </c>
      <c r="D48" t="s">
        <v>14</v>
      </c>
      <c r="E48" t="s">
        <v>15</v>
      </c>
      <c r="F48" s="1">
        <v>44565</v>
      </c>
      <c r="G48" s="1">
        <v>44585</v>
      </c>
      <c r="H48">
        <v>486</v>
      </c>
      <c r="I48">
        <v>4.7</v>
      </c>
      <c r="J48">
        <v>0</v>
      </c>
      <c r="K48" t="str">
        <f>IF(customer[[#This Row],[IsChurned]]=1,"Churned","Active")</f>
        <v>Active</v>
      </c>
      <c r="L48" t="str">
        <f>TEXT(customer[[#This Row],[SubscriptionDate]],"mmm-yyyy")</f>
        <v>Jan-2022</v>
      </c>
      <c r="M48" s="1">
        <f ca="1">TODAY()-customer[[#This Row],[LastLoginDate]]</f>
        <v>1458</v>
      </c>
    </row>
    <row r="49" spans="1:13" x14ac:dyDescent="0.3">
      <c r="A49">
        <v>48</v>
      </c>
      <c r="B49" t="s">
        <v>62</v>
      </c>
      <c r="C49">
        <v>39</v>
      </c>
      <c r="D49" t="s">
        <v>11</v>
      </c>
      <c r="E49" t="s">
        <v>15</v>
      </c>
      <c r="F49" s="1">
        <v>44926</v>
      </c>
      <c r="G49" s="1">
        <v>45242</v>
      </c>
      <c r="H49">
        <v>345</v>
      </c>
      <c r="I49">
        <v>3.9</v>
      </c>
      <c r="J49">
        <v>0</v>
      </c>
      <c r="K49" t="str">
        <f>IF(customer[[#This Row],[IsChurned]]=1,"Churned","Active")</f>
        <v>Active</v>
      </c>
      <c r="L49" t="str">
        <f>TEXT(customer[[#This Row],[SubscriptionDate]],"mmm-yyyy")</f>
        <v>Dec-2022</v>
      </c>
      <c r="M49" s="1">
        <f ca="1">TODAY()-customer[[#This Row],[LastLoginDate]]</f>
        <v>801</v>
      </c>
    </row>
    <row r="50" spans="1:13" x14ac:dyDescent="0.3">
      <c r="A50">
        <v>49</v>
      </c>
      <c r="B50" t="s">
        <v>63</v>
      </c>
      <c r="C50">
        <v>33</v>
      </c>
      <c r="D50" t="s">
        <v>14</v>
      </c>
      <c r="E50" t="s">
        <v>15</v>
      </c>
      <c r="F50" s="1">
        <v>45012</v>
      </c>
      <c r="G50" s="1">
        <v>45250</v>
      </c>
      <c r="H50">
        <v>174</v>
      </c>
      <c r="I50">
        <v>1</v>
      </c>
      <c r="J50">
        <v>1</v>
      </c>
      <c r="K50" t="str">
        <f>IF(customer[[#This Row],[IsChurned]]=1,"Churned","Active")</f>
        <v>Churned</v>
      </c>
      <c r="L50" t="str">
        <f>TEXT(customer[[#This Row],[SubscriptionDate]],"mmm-yyyy")</f>
        <v>Mar-2023</v>
      </c>
      <c r="M50" s="1">
        <f ca="1">TODAY()-customer[[#This Row],[LastLoginDate]]</f>
        <v>793</v>
      </c>
    </row>
    <row r="51" spans="1:13" x14ac:dyDescent="0.3">
      <c r="A51">
        <v>50</v>
      </c>
      <c r="B51" t="s">
        <v>64</v>
      </c>
      <c r="C51">
        <v>35</v>
      </c>
      <c r="D51" t="s">
        <v>11</v>
      </c>
      <c r="E51" t="s">
        <v>15</v>
      </c>
      <c r="F51" s="1">
        <v>45050</v>
      </c>
      <c r="G51" s="1">
        <v>45369</v>
      </c>
      <c r="H51">
        <v>479</v>
      </c>
      <c r="I51">
        <v>1.5</v>
      </c>
      <c r="J51">
        <v>0</v>
      </c>
      <c r="K51" t="str">
        <f>IF(customer[[#This Row],[IsChurned]]=1,"Churned","Active")</f>
        <v>Active</v>
      </c>
      <c r="L51" t="str">
        <f>TEXT(customer[[#This Row],[SubscriptionDate]],"mmm-yyyy")</f>
        <v>May-2023</v>
      </c>
      <c r="M51" s="1">
        <f ca="1">TODAY()-customer[[#This Row],[LastLoginDate]]</f>
        <v>674</v>
      </c>
    </row>
    <row r="52" spans="1:13" x14ac:dyDescent="0.3">
      <c r="A52">
        <v>51</v>
      </c>
      <c r="B52" t="s">
        <v>65</v>
      </c>
      <c r="C52">
        <v>45</v>
      </c>
      <c r="D52" t="s">
        <v>11</v>
      </c>
      <c r="E52" t="s">
        <v>15</v>
      </c>
      <c r="F52" s="1">
        <v>44868</v>
      </c>
      <c r="G52" s="1">
        <v>44984</v>
      </c>
      <c r="H52">
        <v>388</v>
      </c>
      <c r="I52">
        <v>2.7</v>
      </c>
      <c r="J52">
        <v>1</v>
      </c>
      <c r="K52" t="str">
        <f>IF(customer[[#This Row],[IsChurned]]=1,"Churned","Active")</f>
        <v>Churned</v>
      </c>
      <c r="L52" t="str">
        <f>TEXT(customer[[#This Row],[SubscriptionDate]],"mmm-yyyy")</f>
        <v>Nov-2022</v>
      </c>
      <c r="M52" s="1">
        <f ca="1">TODAY()-customer[[#This Row],[LastLoginDate]]</f>
        <v>1059</v>
      </c>
    </row>
    <row r="53" spans="1:13" x14ac:dyDescent="0.3">
      <c r="A53">
        <v>52</v>
      </c>
      <c r="B53" t="s">
        <v>66</v>
      </c>
      <c r="C53">
        <v>43</v>
      </c>
      <c r="D53" t="s">
        <v>14</v>
      </c>
      <c r="E53" t="s">
        <v>12</v>
      </c>
      <c r="F53" s="1">
        <v>45064</v>
      </c>
      <c r="G53" s="1">
        <v>45186</v>
      </c>
      <c r="H53">
        <v>311</v>
      </c>
      <c r="I53">
        <v>4</v>
      </c>
      <c r="J53">
        <v>1</v>
      </c>
      <c r="K53" t="str">
        <f>IF(customer[[#This Row],[IsChurned]]=1,"Churned","Active")</f>
        <v>Churned</v>
      </c>
      <c r="L53" t="str">
        <f>TEXT(customer[[#This Row],[SubscriptionDate]],"mmm-yyyy")</f>
        <v>May-2023</v>
      </c>
      <c r="M53" s="1">
        <f ca="1">TODAY()-customer[[#This Row],[LastLoginDate]]</f>
        <v>857</v>
      </c>
    </row>
    <row r="54" spans="1:13" x14ac:dyDescent="0.3">
      <c r="A54">
        <v>53</v>
      </c>
      <c r="B54" t="s">
        <v>67</v>
      </c>
      <c r="C54">
        <v>27</v>
      </c>
      <c r="D54" t="s">
        <v>14</v>
      </c>
      <c r="E54" t="s">
        <v>18</v>
      </c>
      <c r="F54" s="1">
        <v>45418</v>
      </c>
      <c r="G54" s="1">
        <v>45548</v>
      </c>
      <c r="H54">
        <v>299</v>
      </c>
      <c r="I54">
        <v>4.7</v>
      </c>
      <c r="J54">
        <v>1</v>
      </c>
      <c r="K54" t="str">
        <f>IF(customer[[#This Row],[IsChurned]]=1,"Churned","Active")</f>
        <v>Churned</v>
      </c>
      <c r="L54" t="str">
        <f>TEXT(customer[[#This Row],[SubscriptionDate]],"mmm-yyyy")</f>
        <v>May-2024</v>
      </c>
      <c r="M54" s="1">
        <f ca="1">TODAY()-customer[[#This Row],[LastLoginDate]]</f>
        <v>495</v>
      </c>
    </row>
    <row r="55" spans="1:13" x14ac:dyDescent="0.3">
      <c r="A55">
        <v>54</v>
      </c>
      <c r="B55" t="s">
        <v>68</v>
      </c>
      <c r="C55">
        <v>63</v>
      </c>
      <c r="D55" t="s">
        <v>11</v>
      </c>
      <c r="E55" t="s">
        <v>15</v>
      </c>
      <c r="F55" s="1">
        <v>44779</v>
      </c>
      <c r="G55" s="1">
        <v>44973</v>
      </c>
      <c r="H55">
        <v>14</v>
      </c>
      <c r="I55">
        <v>2.1</v>
      </c>
      <c r="J55">
        <v>1</v>
      </c>
      <c r="K55" t="str">
        <f>IF(customer[[#This Row],[IsChurned]]=1,"Churned","Active")</f>
        <v>Churned</v>
      </c>
      <c r="L55" t="str">
        <f>TEXT(customer[[#This Row],[SubscriptionDate]],"mmm-yyyy")</f>
        <v>Aug-2022</v>
      </c>
      <c r="M55" s="1">
        <f ca="1">TODAY()-customer[[#This Row],[LastLoginDate]]</f>
        <v>1070</v>
      </c>
    </row>
    <row r="56" spans="1:13" x14ac:dyDescent="0.3">
      <c r="A56">
        <v>55</v>
      </c>
      <c r="B56" t="s">
        <v>69</v>
      </c>
      <c r="C56">
        <v>59</v>
      </c>
      <c r="D56" t="s">
        <v>14</v>
      </c>
      <c r="E56" t="s">
        <v>18</v>
      </c>
      <c r="F56" s="1">
        <v>44896</v>
      </c>
      <c r="G56" s="1">
        <v>45074</v>
      </c>
      <c r="H56">
        <v>400</v>
      </c>
      <c r="I56">
        <v>2.6</v>
      </c>
      <c r="J56">
        <v>0</v>
      </c>
      <c r="K56" t="str">
        <f>IF(customer[[#This Row],[IsChurned]]=1,"Churned","Active")</f>
        <v>Active</v>
      </c>
      <c r="L56" t="str">
        <f>TEXT(customer[[#This Row],[SubscriptionDate]],"mmm-yyyy")</f>
        <v>Dec-2022</v>
      </c>
      <c r="M56" s="1">
        <f ca="1">TODAY()-customer[[#This Row],[LastLoginDate]]</f>
        <v>969</v>
      </c>
    </row>
    <row r="57" spans="1:13" x14ac:dyDescent="0.3">
      <c r="A57">
        <v>56</v>
      </c>
      <c r="B57" t="s">
        <v>70</v>
      </c>
      <c r="C57">
        <v>28</v>
      </c>
      <c r="D57" t="s">
        <v>14</v>
      </c>
      <c r="E57" t="s">
        <v>12</v>
      </c>
      <c r="F57" s="1">
        <v>45200</v>
      </c>
      <c r="G57" s="1">
        <v>45320</v>
      </c>
      <c r="H57">
        <v>445</v>
      </c>
      <c r="I57">
        <v>3</v>
      </c>
      <c r="J57">
        <v>0</v>
      </c>
      <c r="K57" t="str">
        <f>IF(customer[[#This Row],[IsChurned]]=1,"Churned","Active")</f>
        <v>Active</v>
      </c>
      <c r="L57" t="str">
        <f>TEXT(customer[[#This Row],[SubscriptionDate]],"mmm-yyyy")</f>
        <v>Oct-2023</v>
      </c>
      <c r="M57" s="1">
        <f ca="1">TODAY()-customer[[#This Row],[LastLoginDate]]</f>
        <v>723</v>
      </c>
    </row>
    <row r="58" spans="1:13" x14ac:dyDescent="0.3">
      <c r="A58">
        <v>57</v>
      </c>
      <c r="B58" t="s">
        <v>71</v>
      </c>
      <c r="C58">
        <v>59</v>
      </c>
      <c r="D58" t="s">
        <v>14</v>
      </c>
      <c r="E58" t="s">
        <v>18</v>
      </c>
      <c r="F58" s="1">
        <v>45217</v>
      </c>
      <c r="G58" s="1">
        <v>45512</v>
      </c>
      <c r="H58">
        <v>51</v>
      </c>
      <c r="I58">
        <v>3</v>
      </c>
      <c r="J58">
        <v>1</v>
      </c>
      <c r="K58" t="str">
        <f>IF(customer[[#This Row],[IsChurned]]=1,"Churned","Active")</f>
        <v>Churned</v>
      </c>
      <c r="L58" t="str">
        <f>TEXT(customer[[#This Row],[SubscriptionDate]],"mmm-yyyy")</f>
        <v>Oct-2023</v>
      </c>
      <c r="M58" s="1">
        <f ca="1">TODAY()-customer[[#This Row],[LastLoginDate]]</f>
        <v>531</v>
      </c>
    </row>
    <row r="59" spans="1:13" x14ac:dyDescent="0.3">
      <c r="A59">
        <v>58</v>
      </c>
      <c r="B59" t="s">
        <v>72</v>
      </c>
      <c r="C59">
        <v>28</v>
      </c>
      <c r="D59" t="s">
        <v>11</v>
      </c>
      <c r="E59" t="s">
        <v>12</v>
      </c>
      <c r="F59" s="1">
        <v>44885</v>
      </c>
      <c r="G59" s="1">
        <v>44952</v>
      </c>
      <c r="H59">
        <v>201</v>
      </c>
      <c r="I59">
        <v>4.7</v>
      </c>
      <c r="J59">
        <v>0</v>
      </c>
      <c r="K59" t="str">
        <f>IF(customer[[#This Row],[IsChurned]]=1,"Churned","Active")</f>
        <v>Active</v>
      </c>
      <c r="L59" t="str">
        <f>TEXT(customer[[#This Row],[SubscriptionDate]],"mmm-yyyy")</f>
        <v>Nov-2022</v>
      </c>
      <c r="M59" s="1">
        <f ca="1">TODAY()-customer[[#This Row],[LastLoginDate]]</f>
        <v>1091</v>
      </c>
    </row>
    <row r="60" spans="1:13" x14ac:dyDescent="0.3">
      <c r="A60">
        <v>59</v>
      </c>
      <c r="B60" t="s">
        <v>73</v>
      </c>
      <c r="C60">
        <v>49</v>
      </c>
      <c r="D60" t="s">
        <v>11</v>
      </c>
      <c r="E60" t="s">
        <v>12</v>
      </c>
      <c r="F60" s="1">
        <v>45202</v>
      </c>
      <c r="G60" s="1">
        <v>45421</v>
      </c>
      <c r="H60">
        <v>270</v>
      </c>
      <c r="I60">
        <v>2.5</v>
      </c>
      <c r="J60">
        <v>0</v>
      </c>
      <c r="K60" t="str">
        <f>IF(customer[[#This Row],[IsChurned]]=1,"Churned","Active")</f>
        <v>Active</v>
      </c>
      <c r="L60" t="str">
        <f>TEXT(customer[[#This Row],[SubscriptionDate]],"mmm-yyyy")</f>
        <v>Oct-2023</v>
      </c>
      <c r="M60" s="1">
        <f ca="1">TODAY()-customer[[#This Row],[LastLoginDate]]</f>
        <v>622</v>
      </c>
    </row>
    <row r="61" spans="1:13" x14ac:dyDescent="0.3">
      <c r="A61">
        <v>60</v>
      </c>
      <c r="B61" t="s">
        <v>74</v>
      </c>
      <c r="C61">
        <v>54</v>
      </c>
      <c r="D61" t="s">
        <v>14</v>
      </c>
      <c r="E61" t="s">
        <v>12</v>
      </c>
      <c r="F61" s="1">
        <v>45424</v>
      </c>
      <c r="G61" s="1">
        <v>45425</v>
      </c>
      <c r="H61">
        <v>466</v>
      </c>
      <c r="I61">
        <v>2</v>
      </c>
      <c r="J61">
        <v>0</v>
      </c>
      <c r="K61" t="str">
        <f>IF(customer[[#This Row],[IsChurned]]=1,"Churned","Active")</f>
        <v>Active</v>
      </c>
      <c r="L61" t="str">
        <f>TEXT(customer[[#This Row],[SubscriptionDate]],"mmm-yyyy")</f>
        <v>May-2024</v>
      </c>
      <c r="M61" s="1">
        <f ca="1">TODAY()-customer[[#This Row],[LastLoginDate]]</f>
        <v>618</v>
      </c>
    </row>
    <row r="62" spans="1:13" x14ac:dyDescent="0.3">
      <c r="A62">
        <v>61</v>
      </c>
      <c r="B62" t="s">
        <v>75</v>
      </c>
      <c r="C62">
        <v>35</v>
      </c>
      <c r="D62" t="s">
        <v>11</v>
      </c>
      <c r="E62" t="s">
        <v>18</v>
      </c>
      <c r="F62" s="1">
        <v>45045</v>
      </c>
      <c r="G62" s="1">
        <v>45240</v>
      </c>
      <c r="H62">
        <v>133</v>
      </c>
      <c r="I62">
        <v>1.7</v>
      </c>
      <c r="J62">
        <v>1</v>
      </c>
      <c r="K62" t="str">
        <f>IF(customer[[#This Row],[IsChurned]]=1,"Churned","Active")</f>
        <v>Churned</v>
      </c>
      <c r="L62" t="str">
        <f>TEXT(customer[[#This Row],[SubscriptionDate]],"mmm-yyyy")</f>
        <v>Apr-2023</v>
      </c>
      <c r="M62" s="1">
        <f ca="1">TODAY()-customer[[#This Row],[LastLoginDate]]</f>
        <v>803</v>
      </c>
    </row>
    <row r="63" spans="1:13" x14ac:dyDescent="0.3">
      <c r="A63">
        <v>62</v>
      </c>
      <c r="B63" t="s">
        <v>76</v>
      </c>
      <c r="C63">
        <v>25</v>
      </c>
      <c r="D63" t="s">
        <v>11</v>
      </c>
      <c r="E63" t="s">
        <v>15</v>
      </c>
      <c r="F63" s="1">
        <v>45257</v>
      </c>
      <c r="G63" s="1">
        <v>45257</v>
      </c>
      <c r="H63">
        <v>461</v>
      </c>
      <c r="I63">
        <v>4.5</v>
      </c>
      <c r="J63">
        <v>1</v>
      </c>
      <c r="K63" t="str">
        <f>IF(customer[[#This Row],[IsChurned]]=1,"Churned","Active")</f>
        <v>Churned</v>
      </c>
      <c r="L63" t="str">
        <f>TEXT(customer[[#This Row],[SubscriptionDate]],"mmm-yyyy")</f>
        <v>Nov-2023</v>
      </c>
      <c r="M63" s="1">
        <f ca="1">TODAY()-customer[[#This Row],[LastLoginDate]]</f>
        <v>786</v>
      </c>
    </row>
    <row r="64" spans="1:13" x14ac:dyDescent="0.3">
      <c r="A64">
        <v>63</v>
      </c>
      <c r="B64" t="s">
        <v>77</v>
      </c>
      <c r="C64">
        <v>47</v>
      </c>
      <c r="D64" t="s">
        <v>14</v>
      </c>
      <c r="E64" t="s">
        <v>15</v>
      </c>
      <c r="F64" s="1">
        <v>44760</v>
      </c>
      <c r="G64" s="1">
        <v>44999</v>
      </c>
      <c r="H64">
        <v>168</v>
      </c>
      <c r="I64">
        <v>4.5999999999999996</v>
      </c>
      <c r="J64">
        <v>1</v>
      </c>
      <c r="K64" t="str">
        <f>IF(customer[[#This Row],[IsChurned]]=1,"Churned","Active")</f>
        <v>Churned</v>
      </c>
      <c r="L64" t="str">
        <f>TEXT(customer[[#This Row],[SubscriptionDate]],"mmm-yyyy")</f>
        <v>Jul-2022</v>
      </c>
      <c r="M64" s="1">
        <f ca="1">TODAY()-customer[[#This Row],[LastLoginDate]]</f>
        <v>1044</v>
      </c>
    </row>
    <row r="65" spans="1:13" x14ac:dyDescent="0.3">
      <c r="A65">
        <v>64</v>
      </c>
      <c r="B65" t="s">
        <v>78</v>
      </c>
      <c r="C65">
        <v>47</v>
      </c>
      <c r="D65" t="s">
        <v>11</v>
      </c>
      <c r="E65" t="s">
        <v>18</v>
      </c>
      <c r="F65" s="1">
        <v>45295</v>
      </c>
      <c r="G65" s="1">
        <v>45451</v>
      </c>
      <c r="H65">
        <v>199</v>
      </c>
      <c r="I65">
        <v>4.4000000000000004</v>
      </c>
      <c r="J65">
        <v>0</v>
      </c>
      <c r="K65" t="str">
        <f>IF(customer[[#This Row],[IsChurned]]=1,"Churned","Active")</f>
        <v>Active</v>
      </c>
      <c r="L65" t="str">
        <f>TEXT(customer[[#This Row],[SubscriptionDate]],"mmm-yyyy")</f>
        <v>Jan-2024</v>
      </c>
      <c r="M65" s="1">
        <f ca="1">TODAY()-customer[[#This Row],[LastLoginDate]]</f>
        <v>592</v>
      </c>
    </row>
    <row r="66" spans="1:13" x14ac:dyDescent="0.3">
      <c r="A66">
        <v>65</v>
      </c>
      <c r="B66" t="s">
        <v>79</v>
      </c>
      <c r="C66">
        <v>40</v>
      </c>
      <c r="D66" t="s">
        <v>11</v>
      </c>
      <c r="E66" t="s">
        <v>18</v>
      </c>
      <c r="F66" s="1">
        <v>45121</v>
      </c>
      <c r="G66" s="1">
        <v>45176</v>
      </c>
      <c r="H66">
        <v>81</v>
      </c>
      <c r="I66">
        <v>4.5999999999999996</v>
      </c>
      <c r="J66">
        <v>1</v>
      </c>
      <c r="K66" t="str">
        <f>IF(customer[[#This Row],[IsChurned]]=1,"Churned","Active")</f>
        <v>Churned</v>
      </c>
      <c r="L66" t="str">
        <f>TEXT(customer[[#This Row],[SubscriptionDate]],"mmm-yyyy")</f>
        <v>Jul-2023</v>
      </c>
      <c r="M66" s="1">
        <f ca="1">TODAY()-customer[[#This Row],[LastLoginDate]]</f>
        <v>867</v>
      </c>
    </row>
    <row r="67" spans="1:13" x14ac:dyDescent="0.3">
      <c r="A67">
        <v>66</v>
      </c>
      <c r="B67" t="s">
        <v>80</v>
      </c>
      <c r="C67">
        <v>55</v>
      </c>
      <c r="D67" t="s">
        <v>11</v>
      </c>
      <c r="E67" t="s">
        <v>15</v>
      </c>
      <c r="F67" s="1">
        <v>45334</v>
      </c>
      <c r="G67" s="1">
        <v>45647</v>
      </c>
      <c r="H67">
        <v>459</v>
      </c>
      <c r="I67">
        <v>2.4</v>
      </c>
      <c r="J67">
        <v>0</v>
      </c>
      <c r="K67" t="str">
        <f>IF(customer[[#This Row],[IsChurned]]=1,"Churned","Active")</f>
        <v>Active</v>
      </c>
      <c r="L67" t="str">
        <f>TEXT(customer[[#This Row],[SubscriptionDate]],"mmm-yyyy")</f>
        <v>Feb-2024</v>
      </c>
      <c r="M67" s="1">
        <f ca="1">TODAY()-customer[[#This Row],[LastLoginDate]]</f>
        <v>396</v>
      </c>
    </row>
    <row r="68" spans="1:13" x14ac:dyDescent="0.3">
      <c r="A68">
        <v>67</v>
      </c>
      <c r="B68" t="s">
        <v>81</v>
      </c>
      <c r="C68">
        <v>30</v>
      </c>
      <c r="D68" t="s">
        <v>14</v>
      </c>
      <c r="E68" t="s">
        <v>15</v>
      </c>
      <c r="F68" s="1">
        <v>44683</v>
      </c>
      <c r="G68" s="1">
        <v>44733</v>
      </c>
      <c r="H68">
        <v>499</v>
      </c>
      <c r="I68">
        <v>1.8</v>
      </c>
      <c r="J68">
        <v>0</v>
      </c>
      <c r="K68" t="str">
        <f>IF(customer[[#This Row],[IsChurned]]=1,"Churned","Active")</f>
        <v>Active</v>
      </c>
      <c r="L68" t="str">
        <f>TEXT(customer[[#This Row],[SubscriptionDate]],"mmm-yyyy")</f>
        <v>May-2022</v>
      </c>
      <c r="M68" s="1">
        <f ca="1">TODAY()-customer[[#This Row],[LastLoginDate]]</f>
        <v>1310</v>
      </c>
    </row>
    <row r="69" spans="1:13" x14ac:dyDescent="0.3">
      <c r="A69">
        <v>68</v>
      </c>
      <c r="B69" t="s">
        <v>82</v>
      </c>
      <c r="C69">
        <v>52</v>
      </c>
      <c r="D69" t="s">
        <v>11</v>
      </c>
      <c r="E69" t="s">
        <v>18</v>
      </c>
      <c r="F69" s="1">
        <v>44829</v>
      </c>
      <c r="G69" s="1">
        <v>45139</v>
      </c>
      <c r="H69">
        <v>339</v>
      </c>
      <c r="I69">
        <v>4</v>
      </c>
      <c r="J69">
        <v>0</v>
      </c>
      <c r="K69" t="str">
        <f>IF(customer[[#This Row],[IsChurned]]=1,"Churned","Active")</f>
        <v>Active</v>
      </c>
      <c r="L69" t="str">
        <f>TEXT(customer[[#This Row],[SubscriptionDate]],"mmm-yyyy")</f>
        <v>Sep-2022</v>
      </c>
      <c r="M69" s="1">
        <f ca="1">TODAY()-customer[[#This Row],[LastLoginDate]]</f>
        <v>904</v>
      </c>
    </row>
    <row r="70" spans="1:13" x14ac:dyDescent="0.3">
      <c r="A70">
        <v>69</v>
      </c>
      <c r="B70" t="s">
        <v>83</v>
      </c>
      <c r="C70">
        <v>39</v>
      </c>
      <c r="D70" t="s">
        <v>11</v>
      </c>
      <c r="E70" t="s">
        <v>12</v>
      </c>
      <c r="F70" s="1">
        <v>45330</v>
      </c>
      <c r="G70" s="1">
        <v>45527</v>
      </c>
      <c r="H70">
        <v>467</v>
      </c>
      <c r="I70">
        <v>2.4</v>
      </c>
      <c r="J70">
        <v>0</v>
      </c>
      <c r="K70" t="str">
        <f>IF(customer[[#This Row],[IsChurned]]=1,"Churned","Active")</f>
        <v>Active</v>
      </c>
      <c r="L70" t="str">
        <f>TEXT(customer[[#This Row],[SubscriptionDate]],"mmm-yyyy")</f>
        <v>Feb-2024</v>
      </c>
      <c r="M70" s="1">
        <f ca="1">TODAY()-customer[[#This Row],[LastLoginDate]]</f>
        <v>516</v>
      </c>
    </row>
    <row r="71" spans="1:13" x14ac:dyDescent="0.3">
      <c r="A71">
        <v>70</v>
      </c>
      <c r="B71" t="s">
        <v>84</v>
      </c>
      <c r="C71">
        <v>56</v>
      </c>
      <c r="D71" t="s">
        <v>11</v>
      </c>
      <c r="E71" t="s">
        <v>15</v>
      </c>
      <c r="F71" s="1">
        <v>45051</v>
      </c>
      <c r="G71" s="1">
        <v>45129</v>
      </c>
      <c r="H71">
        <v>202</v>
      </c>
      <c r="I71">
        <v>1.6</v>
      </c>
      <c r="J71">
        <v>0</v>
      </c>
      <c r="K71" t="str">
        <f>IF(customer[[#This Row],[IsChurned]]=1,"Churned","Active")</f>
        <v>Active</v>
      </c>
      <c r="L71" t="str">
        <f>TEXT(customer[[#This Row],[SubscriptionDate]],"mmm-yyyy")</f>
        <v>May-2023</v>
      </c>
      <c r="M71" s="1">
        <f ca="1">TODAY()-customer[[#This Row],[LastLoginDate]]</f>
        <v>914</v>
      </c>
    </row>
    <row r="72" spans="1:13" x14ac:dyDescent="0.3">
      <c r="A72">
        <v>71</v>
      </c>
      <c r="B72" t="s">
        <v>85</v>
      </c>
      <c r="C72">
        <v>46</v>
      </c>
      <c r="D72" t="s">
        <v>11</v>
      </c>
      <c r="E72" t="s">
        <v>15</v>
      </c>
      <c r="F72" s="1">
        <v>44605</v>
      </c>
      <c r="G72" s="1">
        <v>44922</v>
      </c>
      <c r="H72">
        <v>21</v>
      </c>
      <c r="I72">
        <v>3.3</v>
      </c>
      <c r="J72">
        <v>0</v>
      </c>
      <c r="K72" t="str">
        <f>IF(customer[[#This Row],[IsChurned]]=1,"Churned","Active")</f>
        <v>Active</v>
      </c>
      <c r="L72" t="str">
        <f>TEXT(customer[[#This Row],[SubscriptionDate]],"mmm-yyyy")</f>
        <v>Feb-2022</v>
      </c>
      <c r="M72" s="1">
        <f ca="1">TODAY()-customer[[#This Row],[LastLoginDate]]</f>
        <v>1121</v>
      </c>
    </row>
    <row r="73" spans="1:13" x14ac:dyDescent="0.3">
      <c r="A73">
        <v>72</v>
      </c>
      <c r="B73" t="s">
        <v>86</v>
      </c>
      <c r="C73">
        <v>42</v>
      </c>
      <c r="D73" t="s">
        <v>11</v>
      </c>
      <c r="E73" t="s">
        <v>15</v>
      </c>
      <c r="F73" s="1">
        <v>45169</v>
      </c>
      <c r="G73" s="1">
        <v>45483</v>
      </c>
      <c r="H73">
        <v>398</v>
      </c>
      <c r="I73">
        <v>1.6</v>
      </c>
      <c r="J73">
        <v>0</v>
      </c>
      <c r="K73" t="str">
        <f>IF(customer[[#This Row],[IsChurned]]=1,"Churned","Active")</f>
        <v>Active</v>
      </c>
      <c r="L73" t="str">
        <f>TEXT(customer[[#This Row],[SubscriptionDate]],"mmm-yyyy")</f>
        <v>Aug-2023</v>
      </c>
      <c r="M73" s="1">
        <f ca="1">TODAY()-customer[[#This Row],[LastLoginDate]]</f>
        <v>560</v>
      </c>
    </row>
    <row r="74" spans="1:13" x14ac:dyDescent="0.3">
      <c r="A74">
        <v>73</v>
      </c>
      <c r="B74" t="s">
        <v>87</v>
      </c>
      <c r="C74">
        <v>64</v>
      </c>
      <c r="D74" t="s">
        <v>11</v>
      </c>
      <c r="E74" t="s">
        <v>18</v>
      </c>
      <c r="F74" s="1">
        <v>44851</v>
      </c>
      <c r="G74" s="1">
        <v>45108</v>
      </c>
      <c r="H74">
        <v>394</v>
      </c>
      <c r="I74">
        <v>1.9</v>
      </c>
      <c r="J74">
        <v>1</v>
      </c>
      <c r="K74" t="str">
        <f>IF(customer[[#This Row],[IsChurned]]=1,"Churned","Active")</f>
        <v>Churned</v>
      </c>
      <c r="L74" t="str">
        <f>TEXT(customer[[#This Row],[SubscriptionDate]],"mmm-yyyy")</f>
        <v>Oct-2022</v>
      </c>
      <c r="M74" s="1">
        <f ca="1">TODAY()-customer[[#This Row],[LastLoginDate]]</f>
        <v>935</v>
      </c>
    </row>
    <row r="75" spans="1:13" x14ac:dyDescent="0.3">
      <c r="A75">
        <v>74</v>
      </c>
      <c r="B75" t="s">
        <v>88</v>
      </c>
      <c r="C75">
        <v>45</v>
      </c>
      <c r="D75" t="s">
        <v>11</v>
      </c>
      <c r="E75" t="s">
        <v>18</v>
      </c>
      <c r="F75" s="1">
        <v>44990</v>
      </c>
      <c r="G75" s="1">
        <v>45298</v>
      </c>
      <c r="H75">
        <v>15</v>
      </c>
      <c r="I75">
        <v>2.9</v>
      </c>
      <c r="J75">
        <v>1</v>
      </c>
      <c r="K75" t="str">
        <f>IF(customer[[#This Row],[IsChurned]]=1,"Churned","Active")</f>
        <v>Churned</v>
      </c>
      <c r="L75" t="str">
        <f>TEXT(customer[[#This Row],[SubscriptionDate]],"mmm-yyyy")</f>
        <v>Mar-2023</v>
      </c>
      <c r="M75" s="1">
        <f ca="1">TODAY()-customer[[#This Row],[LastLoginDate]]</f>
        <v>745</v>
      </c>
    </row>
    <row r="76" spans="1:13" x14ac:dyDescent="0.3">
      <c r="A76">
        <v>75</v>
      </c>
      <c r="B76" t="s">
        <v>89</v>
      </c>
      <c r="C76">
        <v>54</v>
      </c>
      <c r="D76" t="s">
        <v>14</v>
      </c>
      <c r="E76" t="s">
        <v>12</v>
      </c>
      <c r="F76" s="1">
        <v>44585</v>
      </c>
      <c r="G76" s="1">
        <v>44876</v>
      </c>
      <c r="H76">
        <v>466</v>
      </c>
      <c r="I76">
        <v>3.3</v>
      </c>
      <c r="J76">
        <v>1</v>
      </c>
      <c r="K76" t="str">
        <f>IF(customer[[#This Row],[IsChurned]]=1,"Churned","Active")</f>
        <v>Churned</v>
      </c>
      <c r="L76" t="str">
        <f>TEXT(customer[[#This Row],[SubscriptionDate]],"mmm-yyyy")</f>
        <v>Jan-2022</v>
      </c>
      <c r="M76" s="1">
        <f ca="1">TODAY()-customer[[#This Row],[LastLoginDate]]</f>
        <v>1167</v>
      </c>
    </row>
    <row r="77" spans="1:13" x14ac:dyDescent="0.3">
      <c r="A77">
        <v>76</v>
      </c>
      <c r="B77" t="s">
        <v>90</v>
      </c>
      <c r="C77">
        <v>22</v>
      </c>
      <c r="D77" t="s">
        <v>11</v>
      </c>
      <c r="E77" t="s">
        <v>15</v>
      </c>
      <c r="F77" s="1">
        <v>44943</v>
      </c>
      <c r="G77" s="1">
        <v>45024</v>
      </c>
      <c r="H77">
        <v>239</v>
      </c>
      <c r="I77">
        <v>4.4000000000000004</v>
      </c>
      <c r="J77">
        <v>1</v>
      </c>
      <c r="K77" t="str">
        <f>IF(customer[[#This Row],[IsChurned]]=1,"Churned","Active")</f>
        <v>Churned</v>
      </c>
      <c r="L77" t="str">
        <f>TEXT(customer[[#This Row],[SubscriptionDate]],"mmm-yyyy")</f>
        <v>Jan-2023</v>
      </c>
      <c r="M77" s="1">
        <f ca="1">TODAY()-customer[[#This Row],[LastLoginDate]]</f>
        <v>1019</v>
      </c>
    </row>
    <row r="78" spans="1:13" x14ac:dyDescent="0.3">
      <c r="A78">
        <v>77</v>
      </c>
      <c r="B78" t="s">
        <v>91</v>
      </c>
      <c r="C78">
        <v>64</v>
      </c>
      <c r="D78" t="s">
        <v>11</v>
      </c>
      <c r="E78" t="s">
        <v>18</v>
      </c>
      <c r="F78" s="1">
        <v>44906</v>
      </c>
      <c r="G78" s="1">
        <v>45102</v>
      </c>
      <c r="H78">
        <v>470</v>
      </c>
      <c r="I78">
        <v>2.7</v>
      </c>
      <c r="J78">
        <v>1</v>
      </c>
      <c r="K78" t="str">
        <f>IF(customer[[#This Row],[IsChurned]]=1,"Churned","Active")</f>
        <v>Churned</v>
      </c>
      <c r="L78" t="str">
        <f>TEXT(customer[[#This Row],[SubscriptionDate]],"mmm-yyyy")</f>
        <v>Dec-2022</v>
      </c>
      <c r="M78" s="1">
        <f ca="1">TODAY()-customer[[#This Row],[LastLoginDate]]</f>
        <v>941</v>
      </c>
    </row>
    <row r="79" spans="1:13" x14ac:dyDescent="0.3">
      <c r="A79">
        <v>78</v>
      </c>
      <c r="B79" t="s">
        <v>92</v>
      </c>
      <c r="C79">
        <v>37</v>
      </c>
      <c r="D79" t="s">
        <v>11</v>
      </c>
      <c r="E79" t="s">
        <v>12</v>
      </c>
      <c r="F79" s="1">
        <v>44654</v>
      </c>
      <c r="G79" s="1">
        <v>44755</v>
      </c>
      <c r="H79">
        <v>482</v>
      </c>
      <c r="I79">
        <v>1.2</v>
      </c>
      <c r="J79">
        <v>1</v>
      </c>
      <c r="K79" t="str">
        <f>IF(customer[[#This Row],[IsChurned]]=1,"Churned","Active")</f>
        <v>Churned</v>
      </c>
      <c r="L79" t="str">
        <f>TEXT(customer[[#This Row],[SubscriptionDate]],"mmm-yyyy")</f>
        <v>Apr-2022</v>
      </c>
      <c r="M79" s="1">
        <f ca="1">TODAY()-customer[[#This Row],[LastLoginDate]]</f>
        <v>1288</v>
      </c>
    </row>
    <row r="80" spans="1:13" x14ac:dyDescent="0.3">
      <c r="A80">
        <v>79</v>
      </c>
      <c r="B80" t="s">
        <v>93</v>
      </c>
      <c r="C80">
        <v>21</v>
      </c>
      <c r="D80" t="s">
        <v>14</v>
      </c>
      <c r="E80" t="s">
        <v>12</v>
      </c>
      <c r="F80" s="1">
        <v>45239</v>
      </c>
      <c r="G80" s="1">
        <v>45312</v>
      </c>
      <c r="H80">
        <v>481</v>
      </c>
      <c r="I80">
        <v>4.3</v>
      </c>
      <c r="J80">
        <v>0</v>
      </c>
      <c r="K80" t="str">
        <f>IF(customer[[#This Row],[IsChurned]]=1,"Churned","Active")</f>
        <v>Active</v>
      </c>
      <c r="L80" t="str">
        <f>TEXT(customer[[#This Row],[SubscriptionDate]],"mmm-yyyy")</f>
        <v>Nov-2023</v>
      </c>
      <c r="M80" s="1">
        <f ca="1">TODAY()-customer[[#This Row],[LastLoginDate]]</f>
        <v>731</v>
      </c>
    </row>
    <row r="81" spans="1:13" x14ac:dyDescent="0.3">
      <c r="A81">
        <v>80</v>
      </c>
      <c r="B81" t="s">
        <v>94</v>
      </c>
      <c r="C81">
        <v>43</v>
      </c>
      <c r="D81" t="s">
        <v>11</v>
      </c>
      <c r="E81" t="s">
        <v>18</v>
      </c>
      <c r="F81" s="1">
        <v>45448</v>
      </c>
      <c r="G81" s="1">
        <v>45676</v>
      </c>
      <c r="H81">
        <v>75</v>
      </c>
      <c r="I81">
        <v>4.9000000000000004</v>
      </c>
      <c r="J81">
        <v>1</v>
      </c>
      <c r="K81" t="str">
        <f>IF(customer[[#This Row],[IsChurned]]=1,"Churned","Active")</f>
        <v>Churned</v>
      </c>
      <c r="L81" t="str">
        <f>TEXT(customer[[#This Row],[SubscriptionDate]],"mmm-yyyy")</f>
        <v>Jun-2024</v>
      </c>
      <c r="M81" s="1">
        <f ca="1">TODAY()-customer[[#This Row],[LastLoginDate]]</f>
        <v>367</v>
      </c>
    </row>
    <row r="82" spans="1:13" x14ac:dyDescent="0.3">
      <c r="A82">
        <v>81</v>
      </c>
      <c r="B82" t="s">
        <v>95</v>
      </c>
      <c r="C82">
        <v>50</v>
      </c>
      <c r="D82" t="s">
        <v>11</v>
      </c>
      <c r="E82" t="s">
        <v>15</v>
      </c>
      <c r="F82" s="1">
        <v>45175</v>
      </c>
      <c r="G82" s="1">
        <v>45443</v>
      </c>
      <c r="H82">
        <v>11</v>
      </c>
      <c r="I82">
        <v>4.5</v>
      </c>
      <c r="J82">
        <v>0</v>
      </c>
      <c r="K82" t="str">
        <f>IF(customer[[#This Row],[IsChurned]]=1,"Churned","Active")</f>
        <v>Active</v>
      </c>
      <c r="L82" t="str">
        <f>TEXT(customer[[#This Row],[SubscriptionDate]],"mmm-yyyy")</f>
        <v>Sep-2023</v>
      </c>
      <c r="M82" s="1">
        <f ca="1">TODAY()-customer[[#This Row],[LastLoginDate]]</f>
        <v>600</v>
      </c>
    </row>
    <row r="83" spans="1:13" x14ac:dyDescent="0.3">
      <c r="A83">
        <v>82</v>
      </c>
      <c r="B83" t="s">
        <v>96</v>
      </c>
      <c r="C83">
        <v>54</v>
      </c>
      <c r="D83" t="s">
        <v>11</v>
      </c>
      <c r="E83" t="s">
        <v>12</v>
      </c>
      <c r="F83" s="1">
        <v>44793</v>
      </c>
      <c r="G83" s="1">
        <v>44942</v>
      </c>
      <c r="H83">
        <v>465</v>
      </c>
      <c r="I83">
        <v>4.7</v>
      </c>
      <c r="J83">
        <v>0</v>
      </c>
      <c r="K83" t="str">
        <f>IF(customer[[#This Row],[IsChurned]]=1,"Churned","Active")</f>
        <v>Active</v>
      </c>
      <c r="L83" t="str">
        <f>TEXT(customer[[#This Row],[SubscriptionDate]],"mmm-yyyy")</f>
        <v>Aug-2022</v>
      </c>
      <c r="M83" s="1">
        <f ca="1">TODAY()-customer[[#This Row],[LastLoginDate]]</f>
        <v>1101</v>
      </c>
    </row>
    <row r="84" spans="1:13" x14ac:dyDescent="0.3">
      <c r="A84">
        <v>83</v>
      </c>
      <c r="B84" t="s">
        <v>97</v>
      </c>
      <c r="C84">
        <v>19</v>
      </c>
      <c r="D84" t="s">
        <v>14</v>
      </c>
      <c r="E84" t="s">
        <v>18</v>
      </c>
      <c r="F84" s="1">
        <v>44944</v>
      </c>
      <c r="G84" s="1">
        <v>45181</v>
      </c>
      <c r="H84">
        <v>236</v>
      </c>
      <c r="I84">
        <v>2.4</v>
      </c>
      <c r="J84">
        <v>1</v>
      </c>
      <c r="K84" t="str">
        <f>IF(customer[[#This Row],[IsChurned]]=1,"Churned","Active")</f>
        <v>Churned</v>
      </c>
      <c r="L84" t="str">
        <f>TEXT(customer[[#This Row],[SubscriptionDate]],"mmm-yyyy")</f>
        <v>Jan-2023</v>
      </c>
      <c r="M84" s="1">
        <f ca="1">TODAY()-customer[[#This Row],[LastLoginDate]]</f>
        <v>862</v>
      </c>
    </row>
    <row r="85" spans="1:13" x14ac:dyDescent="0.3">
      <c r="A85">
        <v>84</v>
      </c>
      <c r="B85" t="s">
        <v>98</v>
      </c>
      <c r="C85">
        <v>28</v>
      </c>
      <c r="D85" t="s">
        <v>14</v>
      </c>
      <c r="E85" t="s">
        <v>15</v>
      </c>
      <c r="F85" s="1">
        <v>44848</v>
      </c>
      <c r="G85" s="1">
        <v>45154</v>
      </c>
      <c r="H85">
        <v>96</v>
      </c>
      <c r="I85">
        <v>3.9</v>
      </c>
      <c r="J85">
        <v>0</v>
      </c>
      <c r="K85" t="str">
        <f>IF(customer[[#This Row],[IsChurned]]=1,"Churned","Active")</f>
        <v>Active</v>
      </c>
      <c r="L85" t="str">
        <f>TEXT(customer[[#This Row],[SubscriptionDate]],"mmm-yyyy")</f>
        <v>Oct-2022</v>
      </c>
      <c r="M85" s="1">
        <f ca="1">TODAY()-customer[[#This Row],[LastLoginDate]]</f>
        <v>889</v>
      </c>
    </row>
    <row r="86" spans="1:13" x14ac:dyDescent="0.3">
      <c r="A86">
        <v>85</v>
      </c>
      <c r="B86" t="s">
        <v>99</v>
      </c>
      <c r="C86">
        <v>64</v>
      </c>
      <c r="D86" t="s">
        <v>11</v>
      </c>
      <c r="E86" t="s">
        <v>12</v>
      </c>
      <c r="F86" s="1">
        <v>44886</v>
      </c>
      <c r="G86" s="1">
        <v>45153</v>
      </c>
      <c r="H86">
        <v>7</v>
      </c>
      <c r="I86">
        <v>3.4</v>
      </c>
      <c r="J86">
        <v>1</v>
      </c>
      <c r="K86" t="str">
        <f>IF(customer[[#This Row],[IsChurned]]=1,"Churned","Active")</f>
        <v>Churned</v>
      </c>
      <c r="L86" t="str">
        <f>TEXT(customer[[#This Row],[SubscriptionDate]],"mmm-yyyy")</f>
        <v>Nov-2022</v>
      </c>
      <c r="M86" s="1">
        <f ca="1">TODAY()-customer[[#This Row],[LastLoginDate]]</f>
        <v>890</v>
      </c>
    </row>
    <row r="87" spans="1:13" x14ac:dyDescent="0.3">
      <c r="A87">
        <v>86</v>
      </c>
      <c r="B87" t="s">
        <v>100</v>
      </c>
      <c r="C87">
        <v>29</v>
      </c>
      <c r="D87" t="s">
        <v>11</v>
      </c>
      <c r="E87" t="s">
        <v>15</v>
      </c>
      <c r="F87" s="1">
        <v>45360</v>
      </c>
      <c r="G87" s="1">
        <v>45712</v>
      </c>
      <c r="H87">
        <v>18</v>
      </c>
      <c r="I87">
        <v>3.6</v>
      </c>
      <c r="J87">
        <v>0</v>
      </c>
      <c r="K87" t="str">
        <f>IF(customer[[#This Row],[IsChurned]]=1,"Churned","Active")</f>
        <v>Active</v>
      </c>
      <c r="L87" t="str">
        <f>TEXT(customer[[#This Row],[SubscriptionDate]],"mmm-yyyy")</f>
        <v>Mar-2024</v>
      </c>
      <c r="M87" s="1">
        <f ca="1">TODAY()-customer[[#This Row],[LastLoginDate]]</f>
        <v>331</v>
      </c>
    </row>
    <row r="88" spans="1:13" x14ac:dyDescent="0.3">
      <c r="A88">
        <v>87</v>
      </c>
      <c r="B88" t="s">
        <v>101</v>
      </c>
      <c r="C88">
        <v>43</v>
      </c>
      <c r="D88" t="s">
        <v>14</v>
      </c>
      <c r="E88" t="s">
        <v>18</v>
      </c>
      <c r="F88" s="1">
        <v>45003</v>
      </c>
      <c r="G88" s="1">
        <v>45365</v>
      </c>
      <c r="H88">
        <v>458</v>
      </c>
      <c r="I88">
        <v>1.4</v>
      </c>
      <c r="J88">
        <v>0</v>
      </c>
      <c r="K88" t="str">
        <f>IF(customer[[#This Row],[IsChurned]]=1,"Churned","Active")</f>
        <v>Active</v>
      </c>
      <c r="L88" t="str">
        <f>TEXT(customer[[#This Row],[SubscriptionDate]],"mmm-yyyy")</f>
        <v>Mar-2023</v>
      </c>
      <c r="M88" s="1">
        <f ca="1">TODAY()-customer[[#This Row],[LastLoginDate]]</f>
        <v>678</v>
      </c>
    </row>
    <row r="89" spans="1:13" x14ac:dyDescent="0.3">
      <c r="A89">
        <v>88</v>
      </c>
      <c r="B89" t="s">
        <v>102</v>
      </c>
      <c r="C89">
        <v>25</v>
      </c>
      <c r="D89" t="s">
        <v>14</v>
      </c>
      <c r="E89" t="s">
        <v>18</v>
      </c>
      <c r="F89" s="1">
        <v>45330</v>
      </c>
      <c r="G89" s="1">
        <v>45451</v>
      </c>
      <c r="H89">
        <v>267</v>
      </c>
      <c r="I89">
        <v>4.0999999999999996</v>
      </c>
      <c r="J89">
        <v>0</v>
      </c>
      <c r="K89" t="str">
        <f>IF(customer[[#This Row],[IsChurned]]=1,"Churned","Active")</f>
        <v>Active</v>
      </c>
      <c r="L89" t="str">
        <f>TEXT(customer[[#This Row],[SubscriptionDate]],"mmm-yyyy")</f>
        <v>Feb-2024</v>
      </c>
      <c r="M89" s="1">
        <f ca="1">TODAY()-customer[[#This Row],[LastLoginDate]]</f>
        <v>592</v>
      </c>
    </row>
    <row r="90" spans="1:13" x14ac:dyDescent="0.3">
      <c r="A90">
        <v>89</v>
      </c>
      <c r="B90" t="s">
        <v>103</v>
      </c>
      <c r="C90">
        <v>53</v>
      </c>
      <c r="D90" t="s">
        <v>11</v>
      </c>
      <c r="E90" t="s">
        <v>18</v>
      </c>
      <c r="F90" s="1">
        <v>45409</v>
      </c>
      <c r="G90" s="1">
        <v>45750</v>
      </c>
      <c r="H90">
        <v>242</v>
      </c>
      <c r="I90">
        <v>1.1000000000000001</v>
      </c>
      <c r="J90">
        <v>0</v>
      </c>
      <c r="K90" t="str">
        <f>IF(customer[[#This Row],[IsChurned]]=1,"Churned","Active")</f>
        <v>Active</v>
      </c>
      <c r="L90" t="str">
        <f>TEXT(customer[[#This Row],[SubscriptionDate]],"mmm-yyyy")</f>
        <v>Apr-2024</v>
      </c>
      <c r="M90" s="1">
        <f ca="1">TODAY()-customer[[#This Row],[LastLoginDate]]</f>
        <v>293</v>
      </c>
    </row>
    <row r="91" spans="1:13" x14ac:dyDescent="0.3">
      <c r="A91">
        <v>90</v>
      </c>
      <c r="B91" t="s">
        <v>104</v>
      </c>
      <c r="C91">
        <v>41</v>
      </c>
      <c r="D91" t="s">
        <v>14</v>
      </c>
      <c r="E91" t="s">
        <v>18</v>
      </c>
      <c r="F91" s="1">
        <v>45453</v>
      </c>
      <c r="G91" s="1">
        <v>45538</v>
      </c>
      <c r="H91">
        <v>177</v>
      </c>
      <c r="I91">
        <v>2.8</v>
      </c>
      <c r="J91">
        <v>1</v>
      </c>
      <c r="K91" t="str">
        <f>IF(customer[[#This Row],[IsChurned]]=1,"Churned","Active")</f>
        <v>Churned</v>
      </c>
      <c r="L91" t="str">
        <f>TEXT(customer[[#This Row],[SubscriptionDate]],"mmm-yyyy")</f>
        <v>Jun-2024</v>
      </c>
      <c r="M91" s="1">
        <f ca="1">TODAY()-customer[[#This Row],[LastLoginDate]]</f>
        <v>505</v>
      </c>
    </row>
    <row r="92" spans="1:13" x14ac:dyDescent="0.3">
      <c r="A92">
        <v>91</v>
      </c>
      <c r="B92" t="s">
        <v>105</v>
      </c>
      <c r="C92">
        <v>30</v>
      </c>
      <c r="D92" t="s">
        <v>14</v>
      </c>
      <c r="E92" t="s">
        <v>15</v>
      </c>
      <c r="F92" s="1">
        <v>45078</v>
      </c>
      <c r="G92" s="1">
        <v>45398</v>
      </c>
      <c r="H92">
        <v>457</v>
      </c>
      <c r="I92">
        <v>1.4</v>
      </c>
      <c r="J92">
        <v>1</v>
      </c>
      <c r="K92" t="str">
        <f>IF(customer[[#This Row],[IsChurned]]=1,"Churned","Active")</f>
        <v>Churned</v>
      </c>
      <c r="L92" t="str">
        <f>TEXT(customer[[#This Row],[SubscriptionDate]],"mmm-yyyy")</f>
        <v>Jun-2023</v>
      </c>
      <c r="M92" s="1">
        <f ca="1">TODAY()-customer[[#This Row],[LastLoginDate]]</f>
        <v>645</v>
      </c>
    </row>
    <row r="93" spans="1:13" x14ac:dyDescent="0.3">
      <c r="A93">
        <v>92</v>
      </c>
      <c r="B93" t="s">
        <v>106</v>
      </c>
      <c r="C93">
        <v>26</v>
      </c>
      <c r="D93" t="s">
        <v>14</v>
      </c>
      <c r="E93" t="s">
        <v>18</v>
      </c>
      <c r="F93" s="1">
        <v>44628</v>
      </c>
      <c r="G93" s="1">
        <v>44629</v>
      </c>
      <c r="H93">
        <v>328</v>
      </c>
      <c r="I93">
        <v>2.4</v>
      </c>
      <c r="J93">
        <v>1</v>
      </c>
      <c r="K93" t="str">
        <f>IF(customer[[#This Row],[IsChurned]]=1,"Churned","Active")</f>
        <v>Churned</v>
      </c>
      <c r="L93" t="str">
        <f>TEXT(customer[[#This Row],[SubscriptionDate]],"mmm-yyyy")</f>
        <v>Mar-2022</v>
      </c>
      <c r="M93" s="1">
        <f ca="1">TODAY()-customer[[#This Row],[LastLoginDate]]</f>
        <v>1414</v>
      </c>
    </row>
    <row r="94" spans="1:13" x14ac:dyDescent="0.3">
      <c r="A94">
        <v>93</v>
      </c>
      <c r="B94" t="s">
        <v>107</v>
      </c>
      <c r="C94">
        <v>56</v>
      </c>
      <c r="D94" t="s">
        <v>14</v>
      </c>
      <c r="E94" t="s">
        <v>12</v>
      </c>
      <c r="F94" s="1">
        <v>45352</v>
      </c>
      <c r="G94" s="1">
        <v>45419</v>
      </c>
      <c r="H94">
        <v>387</v>
      </c>
      <c r="I94">
        <v>3.2</v>
      </c>
      <c r="J94">
        <v>1</v>
      </c>
      <c r="K94" t="str">
        <f>IF(customer[[#This Row],[IsChurned]]=1,"Churned","Active")</f>
        <v>Churned</v>
      </c>
      <c r="L94" t="str">
        <f>TEXT(customer[[#This Row],[SubscriptionDate]],"mmm-yyyy")</f>
        <v>Mar-2024</v>
      </c>
      <c r="M94" s="1">
        <f ca="1">TODAY()-customer[[#This Row],[LastLoginDate]]</f>
        <v>624</v>
      </c>
    </row>
    <row r="95" spans="1:13" x14ac:dyDescent="0.3">
      <c r="A95">
        <v>94</v>
      </c>
      <c r="B95" t="s">
        <v>108</v>
      </c>
      <c r="C95">
        <v>55</v>
      </c>
      <c r="D95" t="s">
        <v>11</v>
      </c>
      <c r="E95" t="s">
        <v>15</v>
      </c>
      <c r="F95" s="1">
        <v>45083</v>
      </c>
      <c r="G95" s="1">
        <v>45272</v>
      </c>
      <c r="H95">
        <v>78</v>
      </c>
      <c r="I95">
        <v>3.1</v>
      </c>
      <c r="J95">
        <v>1</v>
      </c>
      <c r="K95" t="str">
        <f>IF(customer[[#This Row],[IsChurned]]=1,"Churned","Active")</f>
        <v>Churned</v>
      </c>
      <c r="L95" t="str">
        <f>TEXT(customer[[#This Row],[SubscriptionDate]],"mmm-yyyy")</f>
        <v>Jun-2023</v>
      </c>
      <c r="M95" s="1">
        <f ca="1">TODAY()-customer[[#This Row],[LastLoginDate]]</f>
        <v>771</v>
      </c>
    </row>
    <row r="96" spans="1:13" x14ac:dyDescent="0.3">
      <c r="A96">
        <v>95</v>
      </c>
      <c r="B96" t="s">
        <v>109</v>
      </c>
      <c r="C96">
        <v>39</v>
      </c>
      <c r="D96" t="s">
        <v>11</v>
      </c>
      <c r="E96" t="s">
        <v>15</v>
      </c>
      <c r="F96" s="1">
        <v>45308</v>
      </c>
      <c r="G96" s="1">
        <v>45404</v>
      </c>
      <c r="H96">
        <v>447</v>
      </c>
      <c r="I96">
        <v>1.5</v>
      </c>
      <c r="J96">
        <v>1</v>
      </c>
      <c r="K96" t="str">
        <f>IF(customer[[#This Row],[IsChurned]]=1,"Churned","Active")</f>
        <v>Churned</v>
      </c>
      <c r="L96" t="str">
        <f>TEXT(customer[[#This Row],[SubscriptionDate]],"mmm-yyyy")</f>
        <v>Jan-2024</v>
      </c>
      <c r="M96" s="1">
        <f ca="1">TODAY()-customer[[#This Row],[LastLoginDate]]</f>
        <v>639</v>
      </c>
    </row>
    <row r="97" spans="1:13" x14ac:dyDescent="0.3">
      <c r="A97">
        <v>96</v>
      </c>
      <c r="B97" t="s">
        <v>110</v>
      </c>
      <c r="C97">
        <v>22</v>
      </c>
      <c r="D97" t="s">
        <v>14</v>
      </c>
      <c r="E97" t="s">
        <v>15</v>
      </c>
      <c r="F97" s="1">
        <v>45356</v>
      </c>
      <c r="G97" s="1">
        <v>45484</v>
      </c>
      <c r="H97">
        <v>239</v>
      </c>
      <c r="I97">
        <v>3.8</v>
      </c>
      <c r="J97">
        <v>1</v>
      </c>
      <c r="K97" t="str">
        <f>IF(customer[[#This Row],[IsChurned]]=1,"Churned","Active")</f>
        <v>Churned</v>
      </c>
      <c r="L97" t="str">
        <f>TEXT(customer[[#This Row],[SubscriptionDate]],"mmm-yyyy")</f>
        <v>Mar-2024</v>
      </c>
      <c r="M97" s="1">
        <f ca="1">TODAY()-customer[[#This Row],[LastLoginDate]]</f>
        <v>559</v>
      </c>
    </row>
    <row r="98" spans="1:13" x14ac:dyDescent="0.3">
      <c r="A98">
        <v>97</v>
      </c>
      <c r="B98" t="s">
        <v>111</v>
      </c>
      <c r="C98">
        <v>47</v>
      </c>
      <c r="D98" t="s">
        <v>14</v>
      </c>
      <c r="E98" t="s">
        <v>12</v>
      </c>
      <c r="F98" s="1">
        <v>45294</v>
      </c>
      <c r="G98" s="1">
        <v>45463</v>
      </c>
      <c r="H98">
        <v>309</v>
      </c>
      <c r="I98">
        <v>2.2999999999999998</v>
      </c>
      <c r="J98">
        <v>0</v>
      </c>
      <c r="K98" t="str">
        <f>IF(customer[[#This Row],[IsChurned]]=1,"Churned","Active")</f>
        <v>Active</v>
      </c>
      <c r="L98" t="str">
        <f>TEXT(customer[[#This Row],[SubscriptionDate]],"mmm-yyyy")</f>
        <v>Jan-2024</v>
      </c>
      <c r="M98" s="1">
        <f ca="1">TODAY()-customer[[#This Row],[LastLoginDate]]</f>
        <v>580</v>
      </c>
    </row>
    <row r="99" spans="1:13" x14ac:dyDescent="0.3">
      <c r="A99">
        <v>98</v>
      </c>
      <c r="B99" t="s">
        <v>112</v>
      </c>
      <c r="C99">
        <v>52</v>
      </c>
      <c r="D99" t="s">
        <v>14</v>
      </c>
      <c r="E99" t="s">
        <v>15</v>
      </c>
      <c r="F99" s="1">
        <v>45438</v>
      </c>
      <c r="G99" s="1">
        <v>45488</v>
      </c>
      <c r="H99">
        <v>172</v>
      </c>
      <c r="I99">
        <v>2.2000000000000002</v>
      </c>
      <c r="J99">
        <v>0</v>
      </c>
      <c r="K99" t="str">
        <f>IF(customer[[#This Row],[IsChurned]]=1,"Churned","Active")</f>
        <v>Active</v>
      </c>
      <c r="L99" t="str">
        <f>TEXT(customer[[#This Row],[SubscriptionDate]],"mmm-yyyy")</f>
        <v>May-2024</v>
      </c>
      <c r="M99" s="1">
        <f ca="1">TODAY()-customer[[#This Row],[LastLoginDate]]</f>
        <v>555</v>
      </c>
    </row>
    <row r="100" spans="1:13" x14ac:dyDescent="0.3">
      <c r="A100">
        <v>99</v>
      </c>
      <c r="B100" t="s">
        <v>113</v>
      </c>
      <c r="C100">
        <v>22</v>
      </c>
      <c r="D100" t="s">
        <v>14</v>
      </c>
      <c r="E100" t="s">
        <v>12</v>
      </c>
      <c r="F100" s="1">
        <v>44893</v>
      </c>
      <c r="G100" s="1">
        <v>45206</v>
      </c>
      <c r="H100">
        <v>211</v>
      </c>
      <c r="I100">
        <v>1.9</v>
      </c>
      <c r="J100">
        <v>1</v>
      </c>
      <c r="K100" t="str">
        <f>IF(customer[[#This Row],[IsChurned]]=1,"Churned","Active")</f>
        <v>Churned</v>
      </c>
      <c r="L100" t="str">
        <f>TEXT(customer[[#This Row],[SubscriptionDate]],"mmm-yyyy")</f>
        <v>Nov-2022</v>
      </c>
      <c r="M100" s="1">
        <f ca="1">TODAY()-customer[[#This Row],[LastLoginDate]]</f>
        <v>837</v>
      </c>
    </row>
    <row r="101" spans="1:13" x14ac:dyDescent="0.3">
      <c r="A101">
        <v>100</v>
      </c>
      <c r="B101" t="s">
        <v>114</v>
      </c>
      <c r="C101">
        <v>24</v>
      </c>
      <c r="D101" t="s">
        <v>11</v>
      </c>
      <c r="E101" t="s">
        <v>12</v>
      </c>
      <c r="F101" s="1">
        <v>44806</v>
      </c>
      <c r="G101" s="1">
        <v>45052</v>
      </c>
      <c r="H101">
        <v>6</v>
      </c>
      <c r="I101">
        <v>3.9</v>
      </c>
      <c r="J101">
        <v>0</v>
      </c>
      <c r="K101" t="str">
        <f>IF(customer[[#This Row],[IsChurned]]=1,"Churned","Active")</f>
        <v>Active</v>
      </c>
      <c r="L101" t="str">
        <f>TEXT(customer[[#This Row],[SubscriptionDate]],"mmm-yyyy")</f>
        <v>Sep-2022</v>
      </c>
      <c r="M101" s="1">
        <f ca="1">TODAY()-customer[[#This Row],[LastLoginDate]]</f>
        <v>991</v>
      </c>
    </row>
    <row r="102" spans="1:13" x14ac:dyDescent="0.3">
      <c r="A102">
        <v>101</v>
      </c>
      <c r="B102" t="s">
        <v>115</v>
      </c>
      <c r="C102">
        <v>60</v>
      </c>
      <c r="D102" t="s">
        <v>14</v>
      </c>
      <c r="E102" t="s">
        <v>18</v>
      </c>
      <c r="F102" s="1">
        <v>44825</v>
      </c>
      <c r="G102" s="1">
        <v>45097</v>
      </c>
      <c r="H102">
        <v>385</v>
      </c>
      <c r="I102">
        <v>2.1</v>
      </c>
      <c r="J102">
        <v>1</v>
      </c>
      <c r="K102" t="str">
        <f>IF(customer[[#This Row],[IsChurned]]=1,"Churned","Active")</f>
        <v>Churned</v>
      </c>
      <c r="L102" t="str">
        <f>TEXT(customer[[#This Row],[SubscriptionDate]],"mmm-yyyy")</f>
        <v>Sep-2022</v>
      </c>
      <c r="M102" s="1">
        <f ca="1">TODAY()-customer[[#This Row],[LastLoginDate]]</f>
        <v>946</v>
      </c>
    </row>
    <row r="103" spans="1:13" x14ac:dyDescent="0.3">
      <c r="A103">
        <v>102</v>
      </c>
      <c r="B103" t="s">
        <v>116</v>
      </c>
      <c r="C103">
        <v>33</v>
      </c>
      <c r="D103" t="s">
        <v>14</v>
      </c>
      <c r="E103" t="s">
        <v>18</v>
      </c>
      <c r="F103" s="1">
        <v>45104</v>
      </c>
      <c r="G103" s="1">
        <v>45401</v>
      </c>
      <c r="H103">
        <v>441</v>
      </c>
      <c r="I103">
        <v>4.5</v>
      </c>
      <c r="J103">
        <v>0</v>
      </c>
      <c r="K103" t="str">
        <f>IF(customer[[#This Row],[IsChurned]]=1,"Churned","Active")</f>
        <v>Active</v>
      </c>
      <c r="L103" t="str">
        <f>TEXT(customer[[#This Row],[SubscriptionDate]],"mmm-yyyy")</f>
        <v>Jun-2023</v>
      </c>
      <c r="M103" s="1">
        <f ca="1">TODAY()-customer[[#This Row],[LastLoginDate]]</f>
        <v>642</v>
      </c>
    </row>
    <row r="104" spans="1:13" x14ac:dyDescent="0.3">
      <c r="A104">
        <v>103</v>
      </c>
      <c r="B104" t="s">
        <v>117</v>
      </c>
      <c r="C104">
        <v>57</v>
      </c>
      <c r="D104" t="s">
        <v>11</v>
      </c>
      <c r="E104" t="s">
        <v>18</v>
      </c>
      <c r="F104" s="1">
        <v>45263</v>
      </c>
      <c r="G104" s="1">
        <v>45546</v>
      </c>
      <c r="H104">
        <v>465</v>
      </c>
      <c r="I104">
        <v>3.8</v>
      </c>
      <c r="J104">
        <v>1</v>
      </c>
      <c r="K104" t="str">
        <f>IF(customer[[#This Row],[IsChurned]]=1,"Churned","Active")</f>
        <v>Churned</v>
      </c>
      <c r="L104" t="str">
        <f>TEXT(customer[[#This Row],[SubscriptionDate]],"mmm-yyyy")</f>
        <v>Dec-2023</v>
      </c>
      <c r="M104" s="1">
        <f ca="1">TODAY()-customer[[#This Row],[LastLoginDate]]</f>
        <v>497</v>
      </c>
    </row>
    <row r="105" spans="1:13" x14ac:dyDescent="0.3">
      <c r="A105">
        <v>104</v>
      </c>
      <c r="B105" t="s">
        <v>118</v>
      </c>
      <c r="C105">
        <v>26</v>
      </c>
      <c r="D105" t="s">
        <v>14</v>
      </c>
      <c r="E105" t="s">
        <v>15</v>
      </c>
      <c r="F105" s="1">
        <v>45417</v>
      </c>
      <c r="G105" s="1">
        <v>45678</v>
      </c>
      <c r="H105">
        <v>2</v>
      </c>
      <c r="I105">
        <v>4.0999999999999996</v>
      </c>
      <c r="J105">
        <v>1</v>
      </c>
      <c r="K105" t="str">
        <f>IF(customer[[#This Row],[IsChurned]]=1,"Churned","Active")</f>
        <v>Churned</v>
      </c>
      <c r="L105" t="str">
        <f>TEXT(customer[[#This Row],[SubscriptionDate]],"mmm-yyyy")</f>
        <v>May-2024</v>
      </c>
      <c r="M105" s="1">
        <f ca="1">TODAY()-customer[[#This Row],[LastLoginDate]]</f>
        <v>365</v>
      </c>
    </row>
    <row r="106" spans="1:13" x14ac:dyDescent="0.3">
      <c r="A106">
        <v>105</v>
      </c>
      <c r="B106" t="s">
        <v>119</v>
      </c>
      <c r="C106">
        <v>33</v>
      </c>
      <c r="D106" t="s">
        <v>14</v>
      </c>
      <c r="E106" t="s">
        <v>18</v>
      </c>
      <c r="F106" s="1">
        <v>44831</v>
      </c>
      <c r="G106" s="1">
        <v>44840</v>
      </c>
      <c r="H106">
        <v>28</v>
      </c>
      <c r="I106">
        <v>4</v>
      </c>
      <c r="J106">
        <v>0</v>
      </c>
      <c r="K106" t="str">
        <f>IF(customer[[#This Row],[IsChurned]]=1,"Churned","Active")</f>
        <v>Active</v>
      </c>
      <c r="L106" t="str">
        <f>TEXT(customer[[#This Row],[SubscriptionDate]],"mmm-yyyy")</f>
        <v>Sep-2022</v>
      </c>
      <c r="M106" s="1">
        <f ca="1">TODAY()-customer[[#This Row],[LastLoginDate]]</f>
        <v>1203</v>
      </c>
    </row>
    <row r="107" spans="1:13" x14ac:dyDescent="0.3">
      <c r="A107">
        <v>106</v>
      </c>
      <c r="B107" t="s">
        <v>120</v>
      </c>
      <c r="C107">
        <v>62</v>
      </c>
      <c r="D107" t="s">
        <v>11</v>
      </c>
      <c r="E107" t="s">
        <v>18</v>
      </c>
      <c r="F107" s="1">
        <v>44812</v>
      </c>
      <c r="G107" s="1">
        <v>45145</v>
      </c>
      <c r="H107">
        <v>362</v>
      </c>
      <c r="I107">
        <v>4.3</v>
      </c>
      <c r="J107">
        <v>1</v>
      </c>
      <c r="K107" t="str">
        <f>IF(customer[[#This Row],[IsChurned]]=1,"Churned","Active")</f>
        <v>Churned</v>
      </c>
      <c r="L107" t="str">
        <f>TEXT(customer[[#This Row],[SubscriptionDate]],"mmm-yyyy")</f>
        <v>Sep-2022</v>
      </c>
      <c r="M107" s="1">
        <f ca="1">TODAY()-customer[[#This Row],[LastLoginDate]]</f>
        <v>898</v>
      </c>
    </row>
    <row r="108" spans="1:13" x14ac:dyDescent="0.3">
      <c r="A108">
        <v>107</v>
      </c>
      <c r="B108" t="s">
        <v>121</v>
      </c>
      <c r="C108">
        <v>59</v>
      </c>
      <c r="D108" t="s">
        <v>11</v>
      </c>
      <c r="E108" t="s">
        <v>15</v>
      </c>
      <c r="F108" s="1">
        <v>44986</v>
      </c>
      <c r="G108" s="1">
        <v>45333</v>
      </c>
      <c r="H108">
        <v>94</v>
      </c>
      <c r="I108">
        <v>2.7</v>
      </c>
      <c r="J108">
        <v>1</v>
      </c>
      <c r="K108" t="str">
        <f>IF(customer[[#This Row],[IsChurned]]=1,"Churned","Active")</f>
        <v>Churned</v>
      </c>
      <c r="L108" t="str">
        <f>TEXT(customer[[#This Row],[SubscriptionDate]],"mmm-yyyy")</f>
        <v>Mar-2023</v>
      </c>
      <c r="M108" s="1">
        <f ca="1">TODAY()-customer[[#This Row],[LastLoginDate]]</f>
        <v>710</v>
      </c>
    </row>
    <row r="109" spans="1:13" x14ac:dyDescent="0.3">
      <c r="A109">
        <v>108</v>
      </c>
      <c r="B109" t="s">
        <v>122</v>
      </c>
      <c r="C109">
        <v>31</v>
      </c>
      <c r="D109" t="s">
        <v>11</v>
      </c>
      <c r="E109" t="s">
        <v>12</v>
      </c>
      <c r="F109" s="1">
        <v>44741</v>
      </c>
      <c r="G109" s="1">
        <v>45088</v>
      </c>
      <c r="H109">
        <v>52</v>
      </c>
      <c r="I109">
        <v>4.9000000000000004</v>
      </c>
      <c r="J109">
        <v>0</v>
      </c>
      <c r="K109" t="str">
        <f>IF(customer[[#This Row],[IsChurned]]=1,"Churned","Active")</f>
        <v>Active</v>
      </c>
      <c r="L109" t="str">
        <f>TEXT(customer[[#This Row],[SubscriptionDate]],"mmm-yyyy")</f>
        <v>Jun-2022</v>
      </c>
      <c r="M109" s="1">
        <f ca="1">TODAY()-customer[[#This Row],[LastLoginDate]]</f>
        <v>955</v>
      </c>
    </row>
    <row r="110" spans="1:13" x14ac:dyDescent="0.3">
      <c r="A110">
        <v>109</v>
      </c>
      <c r="B110" t="s">
        <v>123</v>
      </c>
      <c r="C110">
        <v>49</v>
      </c>
      <c r="D110" t="s">
        <v>14</v>
      </c>
      <c r="E110" t="s">
        <v>12</v>
      </c>
      <c r="F110" s="1">
        <v>45443</v>
      </c>
      <c r="G110" s="1">
        <v>45509</v>
      </c>
      <c r="H110">
        <v>164</v>
      </c>
      <c r="I110">
        <v>4.3</v>
      </c>
      <c r="J110">
        <v>1</v>
      </c>
      <c r="K110" t="str">
        <f>IF(customer[[#This Row],[IsChurned]]=1,"Churned","Active")</f>
        <v>Churned</v>
      </c>
      <c r="L110" t="str">
        <f>TEXT(customer[[#This Row],[SubscriptionDate]],"mmm-yyyy")</f>
        <v>May-2024</v>
      </c>
      <c r="M110" s="1">
        <f ca="1">TODAY()-customer[[#This Row],[LastLoginDate]]</f>
        <v>534</v>
      </c>
    </row>
    <row r="111" spans="1:13" x14ac:dyDescent="0.3">
      <c r="A111">
        <v>110</v>
      </c>
      <c r="B111" t="s">
        <v>124</v>
      </c>
      <c r="C111">
        <v>65</v>
      </c>
      <c r="D111" t="s">
        <v>11</v>
      </c>
      <c r="E111" t="s">
        <v>18</v>
      </c>
      <c r="F111" s="1">
        <v>45452</v>
      </c>
      <c r="G111" s="1">
        <v>45497</v>
      </c>
      <c r="H111">
        <v>365</v>
      </c>
      <c r="I111">
        <v>3.7</v>
      </c>
      <c r="J111">
        <v>1</v>
      </c>
      <c r="K111" t="str">
        <f>IF(customer[[#This Row],[IsChurned]]=1,"Churned","Active")</f>
        <v>Churned</v>
      </c>
      <c r="L111" t="str">
        <f>TEXT(customer[[#This Row],[SubscriptionDate]],"mmm-yyyy")</f>
        <v>Jun-2024</v>
      </c>
      <c r="M111" s="1">
        <f ca="1">TODAY()-customer[[#This Row],[LastLoginDate]]</f>
        <v>546</v>
      </c>
    </row>
    <row r="112" spans="1:13" x14ac:dyDescent="0.3">
      <c r="A112">
        <v>111</v>
      </c>
      <c r="B112" t="s">
        <v>125</v>
      </c>
      <c r="C112">
        <v>18</v>
      </c>
      <c r="D112" t="s">
        <v>11</v>
      </c>
      <c r="E112" t="s">
        <v>18</v>
      </c>
      <c r="F112" s="1">
        <v>44727</v>
      </c>
      <c r="G112" s="1">
        <v>45017</v>
      </c>
      <c r="H112">
        <v>161</v>
      </c>
      <c r="I112">
        <v>4.2</v>
      </c>
      <c r="J112">
        <v>0</v>
      </c>
      <c r="K112" t="str">
        <f>IF(customer[[#This Row],[IsChurned]]=1,"Churned","Active")</f>
        <v>Active</v>
      </c>
      <c r="L112" t="str">
        <f>TEXT(customer[[#This Row],[SubscriptionDate]],"mmm-yyyy")</f>
        <v>Jun-2022</v>
      </c>
      <c r="M112" s="1">
        <f ca="1">TODAY()-customer[[#This Row],[LastLoginDate]]</f>
        <v>1026</v>
      </c>
    </row>
    <row r="113" spans="1:13" x14ac:dyDescent="0.3">
      <c r="A113">
        <v>112</v>
      </c>
      <c r="B113" t="s">
        <v>126</v>
      </c>
      <c r="C113">
        <v>27</v>
      </c>
      <c r="D113" t="s">
        <v>11</v>
      </c>
      <c r="E113" t="s">
        <v>15</v>
      </c>
      <c r="F113" s="1">
        <v>44958</v>
      </c>
      <c r="G113" s="1">
        <v>45049</v>
      </c>
      <c r="H113">
        <v>184</v>
      </c>
      <c r="I113">
        <v>4.8</v>
      </c>
      <c r="J113">
        <v>1</v>
      </c>
      <c r="K113" t="str">
        <f>IF(customer[[#This Row],[IsChurned]]=1,"Churned","Active")</f>
        <v>Churned</v>
      </c>
      <c r="L113" t="str">
        <f>TEXT(customer[[#This Row],[SubscriptionDate]],"mmm-yyyy")</f>
        <v>Feb-2023</v>
      </c>
      <c r="M113" s="1">
        <f ca="1">TODAY()-customer[[#This Row],[LastLoginDate]]</f>
        <v>994</v>
      </c>
    </row>
    <row r="114" spans="1:13" x14ac:dyDescent="0.3">
      <c r="A114">
        <v>113</v>
      </c>
      <c r="B114" t="s">
        <v>127</v>
      </c>
      <c r="C114">
        <v>53</v>
      </c>
      <c r="D114" t="s">
        <v>14</v>
      </c>
      <c r="E114" t="s">
        <v>12</v>
      </c>
      <c r="F114" s="1">
        <v>45349</v>
      </c>
      <c r="G114" s="1">
        <v>45473</v>
      </c>
      <c r="H114">
        <v>187</v>
      </c>
      <c r="I114">
        <v>2</v>
      </c>
      <c r="J114">
        <v>1</v>
      </c>
      <c r="K114" t="str">
        <f>IF(customer[[#This Row],[IsChurned]]=1,"Churned","Active")</f>
        <v>Churned</v>
      </c>
      <c r="L114" t="str">
        <f>TEXT(customer[[#This Row],[SubscriptionDate]],"mmm-yyyy")</f>
        <v>Feb-2024</v>
      </c>
      <c r="M114" s="1">
        <f ca="1">TODAY()-customer[[#This Row],[LastLoginDate]]</f>
        <v>570</v>
      </c>
    </row>
    <row r="115" spans="1:13" x14ac:dyDescent="0.3">
      <c r="A115">
        <v>114</v>
      </c>
      <c r="B115" t="s">
        <v>128</v>
      </c>
      <c r="C115">
        <v>65</v>
      </c>
      <c r="D115" t="s">
        <v>11</v>
      </c>
      <c r="E115" t="s">
        <v>15</v>
      </c>
      <c r="F115" s="1">
        <v>44946</v>
      </c>
      <c r="G115" s="1">
        <v>45308</v>
      </c>
      <c r="H115">
        <v>330</v>
      </c>
      <c r="I115">
        <v>1.2</v>
      </c>
      <c r="J115">
        <v>1</v>
      </c>
      <c r="K115" t="str">
        <f>IF(customer[[#This Row],[IsChurned]]=1,"Churned","Active")</f>
        <v>Churned</v>
      </c>
      <c r="L115" t="str">
        <f>TEXT(customer[[#This Row],[SubscriptionDate]],"mmm-yyyy")</f>
        <v>Jan-2023</v>
      </c>
      <c r="M115" s="1">
        <f ca="1">TODAY()-customer[[#This Row],[LastLoginDate]]</f>
        <v>735</v>
      </c>
    </row>
    <row r="116" spans="1:13" x14ac:dyDescent="0.3">
      <c r="A116">
        <v>115</v>
      </c>
      <c r="B116" t="s">
        <v>129</v>
      </c>
      <c r="C116">
        <v>23</v>
      </c>
      <c r="D116" t="s">
        <v>14</v>
      </c>
      <c r="E116" t="s">
        <v>18</v>
      </c>
      <c r="F116" s="1">
        <v>44927</v>
      </c>
      <c r="G116" s="1">
        <v>45109</v>
      </c>
      <c r="H116">
        <v>182</v>
      </c>
      <c r="I116">
        <v>2.1</v>
      </c>
      <c r="J116">
        <v>0</v>
      </c>
      <c r="K116" t="str">
        <f>IF(customer[[#This Row],[IsChurned]]=1,"Churned","Active")</f>
        <v>Active</v>
      </c>
      <c r="L116" t="str">
        <f>TEXT(customer[[#This Row],[SubscriptionDate]],"mmm-yyyy")</f>
        <v>Jan-2023</v>
      </c>
      <c r="M116" s="1">
        <f ca="1">TODAY()-customer[[#This Row],[LastLoginDate]]</f>
        <v>934</v>
      </c>
    </row>
    <row r="117" spans="1:13" x14ac:dyDescent="0.3">
      <c r="A117">
        <v>116</v>
      </c>
      <c r="B117" t="s">
        <v>130</v>
      </c>
      <c r="C117">
        <v>42</v>
      </c>
      <c r="D117" t="s">
        <v>14</v>
      </c>
      <c r="E117" t="s">
        <v>18</v>
      </c>
      <c r="F117" s="1">
        <v>44999</v>
      </c>
      <c r="G117" s="1">
        <v>45338</v>
      </c>
      <c r="H117">
        <v>35</v>
      </c>
      <c r="I117">
        <v>3.6</v>
      </c>
      <c r="J117">
        <v>1</v>
      </c>
      <c r="K117" t="str">
        <f>IF(customer[[#This Row],[IsChurned]]=1,"Churned","Active")</f>
        <v>Churned</v>
      </c>
      <c r="L117" t="str">
        <f>TEXT(customer[[#This Row],[SubscriptionDate]],"mmm-yyyy")</f>
        <v>Mar-2023</v>
      </c>
      <c r="M117" s="1">
        <f ca="1">TODAY()-customer[[#This Row],[LastLoginDate]]</f>
        <v>705</v>
      </c>
    </row>
    <row r="118" spans="1:13" x14ac:dyDescent="0.3">
      <c r="A118">
        <v>117</v>
      </c>
      <c r="B118" t="s">
        <v>131</v>
      </c>
      <c r="C118">
        <v>58</v>
      </c>
      <c r="D118" t="s">
        <v>11</v>
      </c>
      <c r="E118" t="s">
        <v>18</v>
      </c>
      <c r="F118" s="1">
        <v>45191</v>
      </c>
      <c r="G118" s="1">
        <v>45346</v>
      </c>
      <c r="H118">
        <v>81</v>
      </c>
      <c r="I118">
        <v>3.6</v>
      </c>
      <c r="J118">
        <v>0</v>
      </c>
      <c r="K118" t="str">
        <f>IF(customer[[#This Row],[IsChurned]]=1,"Churned","Active")</f>
        <v>Active</v>
      </c>
      <c r="L118" t="str">
        <f>TEXT(customer[[#This Row],[SubscriptionDate]],"mmm-yyyy")</f>
        <v>Sep-2023</v>
      </c>
      <c r="M118" s="1">
        <f ca="1">TODAY()-customer[[#This Row],[LastLoginDate]]</f>
        <v>697</v>
      </c>
    </row>
    <row r="119" spans="1:13" x14ac:dyDescent="0.3">
      <c r="A119">
        <v>118</v>
      </c>
      <c r="B119" t="s">
        <v>132</v>
      </c>
      <c r="C119">
        <v>59</v>
      </c>
      <c r="D119" t="s">
        <v>14</v>
      </c>
      <c r="E119" t="s">
        <v>18</v>
      </c>
      <c r="F119" s="1">
        <v>45330</v>
      </c>
      <c r="G119" s="1">
        <v>45636</v>
      </c>
      <c r="H119">
        <v>261</v>
      </c>
      <c r="I119">
        <v>4.5</v>
      </c>
      <c r="J119">
        <v>0</v>
      </c>
      <c r="K119" t="str">
        <f>IF(customer[[#This Row],[IsChurned]]=1,"Churned","Active")</f>
        <v>Active</v>
      </c>
      <c r="L119" t="str">
        <f>TEXT(customer[[#This Row],[SubscriptionDate]],"mmm-yyyy")</f>
        <v>Feb-2024</v>
      </c>
      <c r="M119" s="1">
        <f ca="1">TODAY()-customer[[#This Row],[LastLoginDate]]</f>
        <v>407</v>
      </c>
    </row>
    <row r="120" spans="1:13" x14ac:dyDescent="0.3">
      <c r="A120">
        <v>119</v>
      </c>
      <c r="B120" t="s">
        <v>133</v>
      </c>
      <c r="C120">
        <v>32</v>
      </c>
      <c r="D120" t="s">
        <v>14</v>
      </c>
      <c r="E120" t="s">
        <v>18</v>
      </c>
      <c r="F120" s="1">
        <v>45233</v>
      </c>
      <c r="G120" s="1">
        <v>45544</v>
      </c>
      <c r="H120">
        <v>421</v>
      </c>
      <c r="I120">
        <v>4.9000000000000004</v>
      </c>
      <c r="J120">
        <v>1</v>
      </c>
      <c r="K120" t="str">
        <f>IF(customer[[#This Row],[IsChurned]]=1,"Churned","Active")</f>
        <v>Churned</v>
      </c>
      <c r="L120" t="str">
        <f>TEXT(customer[[#This Row],[SubscriptionDate]],"mmm-yyyy")</f>
        <v>Nov-2023</v>
      </c>
      <c r="M120" s="1">
        <f ca="1">TODAY()-customer[[#This Row],[LastLoginDate]]</f>
        <v>499</v>
      </c>
    </row>
    <row r="121" spans="1:13" x14ac:dyDescent="0.3">
      <c r="A121">
        <v>120</v>
      </c>
      <c r="B121" t="s">
        <v>134</v>
      </c>
      <c r="C121">
        <v>25</v>
      </c>
      <c r="D121" t="s">
        <v>14</v>
      </c>
      <c r="E121" t="s">
        <v>15</v>
      </c>
      <c r="F121" s="1">
        <v>44886</v>
      </c>
      <c r="G121" s="1">
        <v>45193</v>
      </c>
      <c r="H121">
        <v>280</v>
      </c>
      <c r="I121">
        <v>4.9000000000000004</v>
      </c>
      <c r="J121">
        <v>0</v>
      </c>
      <c r="K121" t="str">
        <f>IF(customer[[#This Row],[IsChurned]]=1,"Churned","Active")</f>
        <v>Active</v>
      </c>
      <c r="L121" t="str">
        <f>TEXT(customer[[#This Row],[SubscriptionDate]],"mmm-yyyy")</f>
        <v>Nov-2022</v>
      </c>
      <c r="M121" s="1">
        <f ca="1">TODAY()-customer[[#This Row],[LastLoginDate]]</f>
        <v>850</v>
      </c>
    </row>
    <row r="122" spans="1:13" x14ac:dyDescent="0.3">
      <c r="A122">
        <v>121</v>
      </c>
      <c r="B122" t="s">
        <v>135</v>
      </c>
      <c r="C122">
        <v>27</v>
      </c>
      <c r="D122" t="s">
        <v>11</v>
      </c>
      <c r="E122" t="s">
        <v>15</v>
      </c>
      <c r="F122" s="1">
        <v>45003</v>
      </c>
      <c r="G122" s="1">
        <v>45327</v>
      </c>
      <c r="H122">
        <v>280</v>
      </c>
      <c r="I122">
        <v>2.6</v>
      </c>
      <c r="J122">
        <v>0</v>
      </c>
      <c r="K122" t="str">
        <f>IF(customer[[#This Row],[IsChurned]]=1,"Churned","Active")</f>
        <v>Active</v>
      </c>
      <c r="L122" t="str">
        <f>TEXT(customer[[#This Row],[SubscriptionDate]],"mmm-yyyy")</f>
        <v>Mar-2023</v>
      </c>
      <c r="M122" s="1">
        <f ca="1">TODAY()-customer[[#This Row],[LastLoginDate]]</f>
        <v>716</v>
      </c>
    </row>
    <row r="123" spans="1:13" x14ac:dyDescent="0.3">
      <c r="A123">
        <v>122</v>
      </c>
      <c r="B123" t="s">
        <v>136</v>
      </c>
      <c r="C123">
        <v>53</v>
      </c>
      <c r="D123" t="s">
        <v>14</v>
      </c>
      <c r="E123" t="s">
        <v>18</v>
      </c>
      <c r="F123" s="1">
        <v>45326</v>
      </c>
      <c r="G123" s="1">
        <v>45501</v>
      </c>
      <c r="H123">
        <v>256</v>
      </c>
      <c r="I123">
        <v>3.6</v>
      </c>
      <c r="J123">
        <v>0</v>
      </c>
      <c r="K123" t="str">
        <f>IF(customer[[#This Row],[IsChurned]]=1,"Churned","Active")</f>
        <v>Active</v>
      </c>
      <c r="L123" t="str">
        <f>TEXT(customer[[#This Row],[SubscriptionDate]],"mmm-yyyy")</f>
        <v>Feb-2024</v>
      </c>
      <c r="M123" s="1">
        <f ca="1">TODAY()-customer[[#This Row],[LastLoginDate]]</f>
        <v>542</v>
      </c>
    </row>
    <row r="124" spans="1:13" x14ac:dyDescent="0.3">
      <c r="A124">
        <v>123</v>
      </c>
      <c r="B124" t="s">
        <v>137</v>
      </c>
      <c r="C124">
        <v>51</v>
      </c>
      <c r="D124" t="s">
        <v>11</v>
      </c>
      <c r="E124" t="s">
        <v>18</v>
      </c>
      <c r="F124" s="1">
        <v>45007</v>
      </c>
      <c r="G124" s="1">
        <v>45162</v>
      </c>
      <c r="H124">
        <v>200</v>
      </c>
      <c r="I124">
        <v>4.3</v>
      </c>
      <c r="J124">
        <v>0</v>
      </c>
      <c r="K124" t="str">
        <f>IF(customer[[#This Row],[IsChurned]]=1,"Churned","Active")</f>
        <v>Active</v>
      </c>
      <c r="L124" t="str">
        <f>TEXT(customer[[#This Row],[SubscriptionDate]],"mmm-yyyy")</f>
        <v>Mar-2023</v>
      </c>
      <c r="M124" s="1">
        <f ca="1">TODAY()-customer[[#This Row],[LastLoginDate]]</f>
        <v>881</v>
      </c>
    </row>
    <row r="125" spans="1:13" x14ac:dyDescent="0.3">
      <c r="A125">
        <v>124</v>
      </c>
      <c r="B125" t="s">
        <v>138</v>
      </c>
      <c r="C125">
        <v>31</v>
      </c>
      <c r="D125" t="s">
        <v>14</v>
      </c>
      <c r="E125" t="s">
        <v>18</v>
      </c>
      <c r="F125" s="1">
        <v>44574</v>
      </c>
      <c r="G125" s="1">
        <v>44922</v>
      </c>
      <c r="H125">
        <v>268</v>
      </c>
      <c r="I125">
        <v>4.7</v>
      </c>
      <c r="J125">
        <v>0</v>
      </c>
      <c r="K125" t="str">
        <f>IF(customer[[#This Row],[IsChurned]]=1,"Churned","Active")</f>
        <v>Active</v>
      </c>
      <c r="L125" t="str">
        <f>TEXT(customer[[#This Row],[SubscriptionDate]],"mmm-yyyy")</f>
        <v>Jan-2022</v>
      </c>
      <c r="M125" s="1">
        <f ca="1">TODAY()-customer[[#This Row],[LastLoginDate]]</f>
        <v>1121</v>
      </c>
    </row>
    <row r="126" spans="1:13" x14ac:dyDescent="0.3">
      <c r="A126">
        <v>125</v>
      </c>
      <c r="B126" t="s">
        <v>139</v>
      </c>
      <c r="C126">
        <v>52</v>
      </c>
      <c r="D126" t="s">
        <v>14</v>
      </c>
      <c r="E126" t="s">
        <v>18</v>
      </c>
      <c r="F126" s="1">
        <v>45122</v>
      </c>
      <c r="G126" s="1">
        <v>45380</v>
      </c>
      <c r="H126">
        <v>93</v>
      </c>
      <c r="I126">
        <v>2.9</v>
      </c>
      <c r="J126">
        <v>1</v>
      </c>
      <c r="K126" t="str">
        <f>IF(customer[[#This Row],[IsChurned]]=1,"Churned","Active")</f>
        <v>Churned</v>
      </c>
      <c r="L126" t="str">
        <f>TEXT(customer[[#This Row],[SubscriptionDate]],"mmm-yyyy")</f>
        <v>Jul-2023</v>
      </c>
      <c r="M126" s="1">
        <f ca="1">TODAY()-customer[[#This Row],[LastLoginDate]]</f>
        <v>663</v>
      </c>
    </row>
    <row r="127" spans="1:13" x14ac:dyDescent="0.3">
      <c r="A127">
        <v>126</v>
      </c>
      <c r="B127" t="s">
        <v>140</v>
      </c>
      <c r="C127">
        <v>40</v>
      </c>
      <c r="D127" t="s">
        <v>11</v>
      </c>
      <c r="E127" t="s">
        <v>18</v>
      </c>
      <c r="F127" s="1">
        <v>44586</v>
      </c>
      <c r="G127" s="1">
        <v>44784</v>
      </c>
      <c r="H127">
        <v>25</v>
      </c>
      <c r="I127">
        <v>2.6</v>
      </c>
      <c r="J127">
        <v>1</v>
      </c>
      <c r="K127" t="str">
        <f>IF(customer[[#This Row],[IsChurned]]=1,"Churned","Active")</f>
        <v>Churned</v>
      </c>
      <c r="L127" t="str">
        <f>TEXT(customer[[#This Row],[SubscriptionDate]],"mmm-yyyy")</f>
        <v>Jan-2022</v>
      </c>
      <c r="M127" s="1">
        <f ca="1">TODAY()-customer[[#This Row],[LastLoginDate]]</f>
        <v>1259</v>
      </c>
    </row>
    <row r="128" spans="1:13" x14ac:dyDescent="0.3">
      <c r="A128">
        <v>127</v>
      </c>
      <c r="B128" t="s">
        <v>141</v>
      </c>
      <c r="C128">
        <v>39</v>
      </c>
      <c r="D128" t="s">
        <v>14</v>
      </c>
      <c r="E128" t="s">
        <v>12</v>
      </c>
      <c r="F128" s="1">
        <v>45450</v>
      </c>
      <c r="G128" s="1">
        <v>45587</v>
      </c>
      <c r="H128">
        <v>205</v>
      </c>
      <c r="I128">
        <v>4.3</v>
      </c>
      <c r="J128">
        <v>0</v>
      </c>
      <c r="K128" t="str">
        <f>IF(customer[[#This Row],[IsChurned]]=1,"Churned","Active")</f>
        <v>Active</v>
      </c>
      <c r="L128" t="str">
        <f>TEXT(customer[[#This Row],[SubscriptionDate]],"mmm-yyyy")</f>
        <v>Jun-2024</v>
      </c>
      <c r="M128" s="1">
        <f ca="1">TODAY()-customer[[#This Row],[LastLoginDate]]</f>
        <v>456</v>
      </c>
    </row>
    <row r="129" spans="1:13" x14ac:dyDescent="0.3">
      <c r="A129">
        <v>128</v>
      </c>
      <c r="B129" t="s">
        <v>142</v>
      </c>
      <c r="C129">
        <v>65</v>
      </c>
      <c r="D129" t="s">
        <v>14</v>
      </c>
      <c r="E129" t="s">
        <v>12</v>
      </c>
      <c r="F129" s="1">
        <v>45326</v>
      </c>
      <c r="G129" s="1">
        <v>45434</v>
      </c>
      <c r="H129">
        <v>42</v>
      </c>
      <c r="I129">
        <v>2.9</v>
      </c>
      <c r="J129">
        <v>0</v>
      </c>
      <c r="K129" t="str">
        <f>IF(customer[[#This Row],[IsChurned]]=1,"Churned","Active")</f>
        <v>Active</v>
      </c>
      <c r="L129" t="str">
        <f>TEXT(customer[[#This Row],[SubscriptionDate]],"mmm-yyyy")</f>
        <v>Feb-2024</v>
      </c>
      <c r="M129" s="1">
        <f ca="1">TODAY()-customer[[#This Row],[LastLoginDate]]</f>
        <v>609</v>
      </c>
    </row>
    <row r="130" spans="1:13" x14ac:dyDescent="0.3">
      <c r="A130">
        <v>129</v>
      </c>
      <c r="B130" t="s">
        <v>143</v>
      </c>
      <c r="C130">
        <v>65</v>
      </c>
      <c r="D130" t="s">
        <v>14</v>
      </c>
      <c r="E130" t="s">
        <v>12</v>
      </c>
      <c r="F130" s="1">
        <v>45077</v>
      </c>
      <c r="G130" s="1">
        <v>45165</v>
      </c>
      <c r="H130">
        <v>54</v>
      </c>
      <c r="I130">
        <v>1.3</v>
      </c>
      <c r="J130">
        <v>1</v>
      </c>
      <c r="K130" t="str">
        <f>IF(customer[[#This Row],[IsChurned]]=1,"Churned","Active")</f>
        <v>Churned</v>
      </c>
      <c r="L130" t="str">
        <f>TEXT(customer[[#This Row],[SubscriptionDate]],"mmm-yyyy")</f>
        <v>May-2023</v>
      </c>
      <c r="M130" s="1">
        <f ca="1">TODAY()-customer[[#This Row],[LastLoginDate]]</f>
        <v>878</v>
      </c>
    </row>
    <row r="131" spans="1:13" x14ac:dyDescent="0.3">
      <c r="A131">
        <v>130</v>
      </c>
      <c r="B131" t="s">
        <v>144</v>
      </c>
      <c r="C131">
        <v>28</v>
      </c>
      <c r="D131" t="s">
        <v>11</v>
      </c>
      <c r="E131" t="s">
        <v>18</v>
      </c>
      <c r="F131" s="1">
        <v>44629</v>
      </c>
      <c r="G131" s="1">
        <v>44830</v>
      </c>
      <c r="H131">
        <v>345</v>
      </c>
      <c r="I131">
        <v>4.8</v>
      </c>
      <c r="J131">
        <v>0</v>
      </c>
      <c r="K131" t="str">
        <f>IF(customer[[#This Row],[IsChurned]]=1,"Churned","Active")</f>
        <v>Active</v>
      </c>
      <c r="L131" t="str">
        <f>TEXT(customer[[#This Row],[SubscriptionDate]],"mmm-yyyy")</f>
        <v>Mar-2022</v>
      </c>
      <c r="M131" s="1">
        <f ca="1">TODAY()-customer[[#This Row],[LastLoginDate]]</f>
        <v>1213</v>
      </c>
    </row>
    <row r="132" spans="1:13" x14ac:dyDescent="0.3">
      <c r="A132">
        <v>131</v>
      </c>
      <c r="B132" t="s">
        <v>145</v>
      </c>
      <c r="C132">
        <v>20</v>
      </c>
      <c r="D132" t="s">
        <v>14</v>
      </c>
      <c r="E132" t="s">
        <v>12</v>
      </c>
      <c r="F132" s="1">
        <v>44794</v>
      </c>
      <c r="G132" s="1">
        <v>44917</v>
      </c>
      <c r="H132">
        <v>64</v>
      </c>
      <c r="I132">
        <v>4.5</v>
      </c>
      <c r="J132">
        <v>1</v>
      </c>
      <c r="K132" t="str">
        <f>IF(customer[[#This Row],[IsChurned]]=1,"Churned","Active")</f>
        <v>Churned</v>
      </c>
      <c r="L132" t="str">
        <f>TEXT(customer[[#This Row],[SubscriptionDate]],"mmm-yyyy")</f>
        <v>Aug-2022</v>
      </c>
      <c r="M132" s="1">
        <f ca="1">TODAY()-customer[[#This Row],[LastLoginDate]]</f>
        <v>1126</v>
      </c>
    </row>
    <row r="133" spans="1:13" x14ac:dyDescent="0.3">
      <c r="A133">
        <v>132</v>
      </c>
      <c r="B133" t="s">
        <v>146</v>
      </c>
      <c r="C133">
        <v>34</v>
      </c>
      <c r="D133" t="s">
        <v>14</v>
      </c>
      <c r="E133" t="s">
        <v>15</v>
      </c>
      <c r="F133" s="1">
        <v>45120</v>
      </c>
      <c r="G133" s="1">
        <v>45411</v>
      </c>
      <c r="H133">
        <v>425</v>
      </c>
      <c r="I133">
        <v>4.0999999999999996</v>
      </c>
      <c r="J133">
        <v>1</v>
      </c>
      <c r="K133" t="str">
        <f>IF(customer[[#This Row],[IsChurned]]=1,"Churned","Active")</f>
        <v>Churned</v>
      </c>
      <c r="L133" t="str">
        <f>TEXT(customer[[#This Row],[SubscriptionDate]],"mmm-yyyy")</f>
        <v>Jul-2023</v>
      </c>
      <c r="M133" s="1">
        <f ca="1">TODAY()-customer[[#This Row],[LastLoginDate]]</f>
        <v>632</v>
      </c>
    </row>
    <row r="134" spans="1:13" x14ac:dyDescent="0.3">
      <c r="A134">
        <v>133</v>
      </c>
      <c r="B134" t="s">
        <v>147</v>
      </c>
      <c r="C134">
        <v>54</v>
      </c>
      <c r="D134" t="s">
        <v>14</v>
      </c>
      <c r="E134" t="s">
        <v>18</v>
      </c>
      <c r="F134" s="1">
        <v>44583</v>
      </c>
      <c r="G134" s="1">
        <v>44636</v>
      </c>
      <c r="H134">
        <v>217</v>
      </c>
      <c r="I134">
        <v>1.5</v>
      </c>
      <c r="J134">
        <v>0</v>
      </c>
      <c r="K134" t="str">
        <f>IF(customer[[#This Row],[IsChurned]]=1,"Churned","Active")</f>
        <v>Active</v>
      </c>
      <c r="L134" t="str">
        <f>TEXT(customer[[#This Row],[SubscriptionDate]],"mmm-yyyy")</f>
        <v>Jan-2022</v>
      </c>
      <c r="M134" s="1">
        <f ca="1">TODAY()-customer[[#This Row],[LastLoginDate]]</f>
        <v>1407</v>
      </c>
    </row>
    <row r="135" spans="1:13" x14ac:dyDescent="0.3">
      <c r="A135">
        <v>134</v>
      </c>
      <c r="B135" t="s">
        <v>148</v>
      </c>
      <c r="C135">
        <v>58</v>
      </c>
      <c r="D135" t="s">
        <v>11</v>
      </c>
      <c r="E135" t="s">
        <v>15</v>
      </c>
      <c r="F135" s="1">
        <v>45090</v>
      </c>
      <c r="G135" s="1">
        <v>45268</v>
      </c>
      <c r="H135">
        <v>194</v>
      </c>
      <c r="I135">
        <v>4.8</v>
      </c>
      <c r="J135">
        <v>0</v>
      </c>
      <c r="K135" t="str">
        <f>IF(customer[[#This Row],[IsChurned]]=1,"Churned","Active")</f>
        <v>Active</v>
      </c>
      <c r="L135" t="str">
        <f>TEXT(customer[[#This Row],[SubscriptionDate]],"mmm-yyyy")</f>
        <v>Jun-2023</v>
      </c>
      <c r="M135" s="1">
        <f ca="1">TODAY()-customer[[#This Row],[LastLoginDate]]</f>
        <v>775</v>
      </c>
    </row>
    <row r="136" spans="1:13" x14ac:dyDescent="0.3">
      <c r="A136">
        <v>135</v>
      </c>
      <c r="B136" t="s">
        <v>149</v>
      </c>
      <c r="C136">
        <v>21</v>
      </c>
      <c r="D136" t="s">
        <v>14</v>
      </c>
      <c r="E136" t="s">
        <v>18</v>
      </c>
      <c r="F136" s="1">
        <v>45354</v>
      </c>
      <c r="G136" s="1">
        <v>45456</v>
      </c>
      <c r="H136">
        <v>369</v>
      </c>
      <c r="I136">
        <v>2.5</v>
      </c>
      <c r="J136">
        <v>1</v>
      </c>
      <c r="K136" t="str">
        <f>IF(customer[[#This Row],[IsChurned]]=1,"Churned","Active")</f>
        <v>Churned</v>
      </c>
      <c r="L136" t="str">
        <f>TEXT(customer[[#This Row],[SubscriptionDate]],"mmm-yyyy")</f>
        <v>Mar-2024</v>
      </c>
      <c r="M136" s="1">
        <f ca="1">TODAY()-customer[[#This Row],[LastLoginDate]]</f>
        <v>587</v>
      </c>
    </row>
    <row r="137" spans="1:13" x14ac:dyDescent="0.3">
      <c r="A137">
        <v>136</v>
      </c>
      <c r="B137" t="s">
        <v>150</v>
      </c>
      <c r="C137">
        <v>24</v>
      </c>
      <c r="D137" t="s">
        <v>14</v>
      </c>
      <c r="E137" t="s">
        <v>15</v>
      </c>
      <c r="F137" s="1">
        <v>44610</v>
      </c>
      <c r="G137" s="1">
        <v>44734</v>
      </c>
      <c r="H137">
        <v>143</v>
      </c>
      <c r="I137">
        <v>4.5999999999999996</v>
      </c>
      <c r="J137">
        <v>0</v>
      </c>
      <c r="K137" t="str">
        <f>IF(customer[[#This Row],[IsChurned]]=1,"Churned","Active")</f>
        <v>Active</v>
      </c>
      <c r="L137" t="str">
        <f>TEXT(customer[[#This Row],[SubscriptionDate]],"mmm-yyyy")</f>
        <v>Feb-2022</v>
      </c>
      <c r="M137" s="1">
        <f ca="1">TODAY()-customer[[#This Row],[LastLoginDate]]</f>
        <v>1309</v>
      </c>
    </row>
    <row r="138" spans="1:13" x14ac:dyDescent="0.3">
      <c r="A138">
        <v>137</v>
      </c>
      <c r="B138" t="s">
        <v>151</v>
      </c>
      <c r="C138">
        <v>26</v>
      </c>
      <c r="D138" t="s">
        <v>11</v>
      </c>
      <c r="E138" t="s">
        <v>18</v>
      </c>
      <c r="F138" s="1">
        <v>44750</v>
      </c>
      <c r="G138" s="1">
        <v>44756</v>
      </c>
      <c r="H138">
        <v>114</v>
      </c>
      <c r="I138">
        <v>1.7</v>
      </c>
      <c r="J138">
        <v>1</v>
      </c>
      <c r="K138" t="str">
        <f>IF(customer[[#This Row],[IsChurned]]=1,"Churned","Active")</f>
        <v>Churned</v>
      </c>
      <c r="L138" t="str">
        <f>TEXT(customer[[#This Row],[SubscriptionDate]],"mmm-yyyy")</f>
        <v>Jul-2022</v>
      </c>
      <c r="M138" s="1">
        <f ca="1">TODAY()-customer[[#This Row],[LastLoginDate]]</f>
        <v>1287</v>
      </c>
    </row>
    <row r="139" spans="1:13" x14ac:dyDescent="0.3">
      <c r="A139">
        <v>138</v>
      </c>
      <c r="B139" t="s">
        <v>152</v>
      </c>
      <c r="C139">
        <v>34</v>
      </c>
      <c r="D139" t="s">
        <v>11</v>
      </c>
      <c r="E139" t="s">
        <v>15</v>
      </c>
      <c r="F139" s="1">
        <v>45263</v>
      </c>
      <c r="G139" s="1">
        <v>45394</v>
      </c>
      <c r="H139">
        <v>337</v>
      </c>
      <c r="I139">
        <v>3.3</v>
      </c>
      <c r="J139">
        <v>1</v>
      </c>
      <c r="K139" t="str">
        <f>IF(customer[[#This Row],[IsChurned]]=1,"Churned","Active")</f>
        <v>Churned</v>
      </c>
      <c r="L139" t="str">
        <f>TEXT(customer[[#This Row],[SubscriptionDate]],"mmm-yyyy")</f>
        <v>Dec-2023</v>
      </c>
      <c r="M139" s="1">
        <f ca="1">TODAY()-customer[[#This Row],[LastLoginDate]]</f>
        <v>649</v>
      </c>
    </row>
    <row r="140" spans="1:13" x14ac:dyDescent="0.3">
      <c r="A140">
        <v>139</v>
      </c>
      <c r="B140" t="s">
        <v>153</v>
      </c>
      <c r="C140">
        <v>26</v>
      </c>
      <c r="D140" t="s">
        <v>11</v>
      </c>
      <c r="E140" t="s">
        <v>15</v>
      </c>
      <c r="F140" s="1">
        <v>45204</v>
      </c>
      <c r="G140" s="1">
        <v>45471</v>
      </c>
      <c r="H140">
        <v>249</v>
      </c>
      <c r="I140">
        <v>4.7</v>
      </c>
      <c r="J140">
        <v>1</v>
      </c>
      <c r="K140" t="str">
        <f>IF(customer[[#This Row],[IsChurned]]=1,"Churned","Active")</f>
        <v>Churned</v>
      </c>
      <c r="L140" t="str">
        <f>TEXT(customer[[#This Row],[SubscriptionDate]],"mmm-yyyy")</f>
        <v>Oct-2023</v>
      </c>
      <c r="M140" s="1">
        <f ca="1">TODAY()-customer[[#This Row],[LastLoginDate]]</f>
        <v>572</v>
      </c>
    </row>
    <row r="141" spans="1:13" x14ac:dyDescent="0.3">
      <c r="A141">
        <v>140</v>
      </c>
      <c r="B141" t="s">
        <v>154</v>
      </c>
      <c r="C141">
        <v>51</v>
      </c>
      <c r="D141" t="s">
        <v>11</v>
      </c>
      <c r="E141" t="s">
        <v>15</v>
      </c>
      <c r="F141" s="1">
        <v>45027</v>
      </c>
      <c r="G141" s="1">
        <v>45137</v>
      </c>
      <c r="H141">
        <v>228</v>
      </c>
      <c r="I141">
        <v>3.5</v>
      </c>
      <c r="J141">
        <v>0</v>
      </c>
      <c r="K141" t="str">
        <f>IF(customer[[#This Row],[IsChurned]]=1,"Churned","Active")</f>
        <v>Active</v>
      </c>
      <c r="L141" t="str">
        <f>TEXT(customer[[#This Row],[SubscriptionDate]],"mmm-yyyy")</f>
        <v>Apr-2023</v>
      </c>
      <c r="M141" s="1">
        <f ca="1">TODAY()-customer[[#This Row],[LastLoginDate]]</f>
        <v>906</v>
      </c>
    </row>
    <row r="142" spans="1:13" x14ac:dyDescent="0.3">
      <c r="A142">
        <v>141</v>
      </c>
      <c r="B142" t="s">
        <v>155</v>
      </c>
      <c r="C142">
        <v>32</v>
      </c>
      <c r="D142" t="s">
        <v>14</v>
      </c>
      <c r="E142" t="s">
        <v>15</v>
      </c>
      <c r="F142" s="1">
        <v>44992</v>
      </c>
      <c r="G142" s="1">
        <v>45267</v>
      </c>
      <c r="H142">
        <v>406</v>
      </c>
      <c r="I142">
        <v>2.2999999999999998</v>
      </c>
      <c r="J142">
        <v>0</v>
      </c>
      <c r="K142" t="str">
        <f>IF(customer[[#This Row],[IsChurned]]=1,"Churned","Active")</f>
        <v>Active</v>
      </c>
      <c r="L142" t="str">
        <f>TEXT(customer[[#This Row],[SubscriptionDate]],"mmm-yyyy")</f>
        <v>Mar-2023</v>
      </c>
      <c r="M142" s="1">
        <f ca="1">TODAY()-customer[[#This Row],[LastLoginDate]]</f>
        <v>776</v>
      </c>
    </row>
    <row r="143" spans="1:13" x14ac:dyDescent="0.3">
      <c r="A143">
        <v>142</v>
      </c>
      <c r="B143" t="s">
        <v>156</v>
      </c>
      <c r="C143">
        <v>58</v>
      </c>
      <c r="D143" t="s">
        <v>11</v>
      </c>
      <c r="E143" t="s">
        <v>18</v>
      </c>
      <c r="F143" s="1">
        <v>45017</v>
      </c>
      <c r="G143" s="1">
        <v>45176</v>
      </c>
      <c r="H143">
        <v>494</v>
      </c>
      <c r="I143">
        <v>2.2999999999999998</v>
      </c>
      <c r="J143">
        <v>1</v>
      </c>
      <c r="K143" t="str">
        <f>IF(customer[[#This Row],[IsChurned]]=1,"Churned","Active")</f>
        <v>Churned</v>
      </c>
      <c r="L143" t="str">
        <f>TEXT(customer[[#This Row],[SubscriptionDate]],"mmm-yyyy")</f>
        <v>Apr-2023</v>
      </c>
      <c r="M143" s="1">
        <f ca="1">TODAY()-customer[[#This Row],[LastLoginDate]]</f>
        <v>867</v>
      </c>
    </row>
    <row r="144" spans="1:13" x14ac:dyDescent="0.3">
      <c r="A144">
        <v>143</v>
      </c>
      <c r="B144" t="s">
        <v>157</v>
      </c>
      <c r="C144">
        <v>26</v>
      </c>
      <c r="D144" t="s">
        <v>11</v>
      </c>
      <c r="E144" t="s">
        <v>15</v>
      </c>
      <c r="F144" s="1">
        <v>45099</v>
      </c>
      <c r="G144" s="1">
        <v>45202</v>
      </c>
      <c r="H144">
        <v>416</v>
      </c>
      <c r="I144">
        <v>2.5</v>
      </c>
      <c r="J144">
        <v>1</v>
      </c>
      <c r="K144" t="str">
        <f>IF(customer[[#This Row],[IsChurned]]=1,"Churned","Active")</f>
        <v>Churned</v>
      </c>
      <c r="L144" t="str">
        <f>TEXT(customer[[#This Row],[SubscriptionDate]],"mmm-yyyy")</f>
        <v>Jun-2023</v>
      </c>
      <c r="M144" s="1">
        <f ca="1">TODAY()-customer[[#This Row],[LastLoginDate]]</f>
        <v>841</v>
      </c>
    </row>
    <row r="145" spans="1:13" x14ac:dyDescent="0.3">
      <c r="A145">
        <v>144</v>
      </c>
      <c r="B145" t="s">
        <v>158</v>
      </c>
      <c r="C145">
        <v>21</v>
      </c>
      <c r="D145" t="s">
        <v>11</v>
      </c>
      <c r="E145" t="s">
        <v>18</v>
      </c>
      <c r="F145" s="1">
        <v>45217</v>
      </c>
      <c r="G145" s="1">
        <v>45283</v>
      </c>
      <c r="H145">
        <v>292</v>
      </c>
      <c r="I145">
        <v>1.4</v>
      </c>
      <c r="J145">
        <v>1</v>
      </c>
      <c r="K145" t="str">
        <f>IF(customer[[#This Row],[IsChurned]]=1,"Churned","Active")</f>
        <v>Churned</v>
      </c>
      <c r="L145" t="str">
        <f>TEXT(customer[[#This Row],[SubscriptionDate]],"mmm-yyyy")</f>
        <v>Oct-2023</v>
      </c>
      <c r="M145" s="1">
        <f ca="1">TODAY()-customer[[#This Row],[LastLoginDate]]</f>
        <v>760</v>
      </c>
    </row>
    <row r="146" spans="1:13" x14ac:dyDescent="0.3">
      <c r="A146">
        <v>145</v>
      </c>
      <c r="B146" t="s">
        <v>159</v>
      </c>
      <c r="C146">
        <v>51</v>
      </c>
      <c r="D146" t="s">
        <v>11</v>
      </c>
      <c r="E146" t="s">
        <v>18</v>
      </c>
      <c r="F146" s="1">
        <v>44621</v>
      </c>
      <c r="G146" s="1">
        <v>44798</v>
      </c>
      <c r="H146">
        <v>181</v>
      </c>
      <c r="I146">
        <v>4.5999999999999996</v>
      </c>
      <c r="J146">
        <v>1</v>
      </c>
      <c r="K146" t="str">
        <f>IF(customer[[#This Row],[IsChurned]]=1,"Churned","Active")</f>
        <v>Churned</v>
      </c>
      <c r="L146" t="str">
        <f>TEXT(customer[[#This Row],[SubscriptionDate]],"mmm-yyyy")</f>
        <v>Mar-2022</v>
      </c>
      <c r="M146" s="1">
        <f ca="1">TODAY()-customer[[#This Row],[LastLoginDate]]</f>
        <v>1245</v>
      </c>
    </row>
    <row r="147" spans="1:13" x14ac:dyDescent="0.3">
      <c r="A147">
        <v>146</v>
      </c>
      <c r="B147" t="s">
        <v>160</v>
      </c>
      <c r="C147">
        <v>25</v>
      </c>
      <c r="D147" t="s">
        <v>11</v>
      </c>
      <c r="E147" t="s">
        <v>15</v>
      </c>
      <c r="F147" s="1">
        <v>45209</v>
      </c>
      <c r="G147" s="1">
        <v>45308</v>
      </c>
      <c r="H147">
        <v>289</v>
      </c>
      <c r="I147">
        <v>4.8</v>
      </c>
      <c r="J147">
        <v>0</v>
      </c>
      <c r="K147" t="str">
        <f>IF(customer[[#This Row],[IsChurned]]=1,"Churned","Active")</f>
        <v>Active</v>
      </c>
      <c r="L147" t="str">
        <f>TEXT(customer[[#This Row],[SubscriptionDate]],"mmm-yyyy")</f>
        <v>Oct-2023</v>
      </c>
      <c r="M147" s="1">
        <f ca="1">TODAY()-customer[[#This Row],[LastLoginDate]]</f>
        <v>735</v>
      </c>
    </row>
    <row r="148" spans="1:13" x14ac:dyDescent="0.3">
      <c r="A148">
        <v>147</v>
      </c>
      <c r="B148" t="s">
        <v>161</v>
      </c>
      <c r="C148">
        <v>19</v>
      </c>
      <c r="D148" t="s">
        <v>11</v>
      </c>
      <c r="E148" t="s">
        <v>12</v>
      </c>
      <c r="F148" s="1">
        <v>45027</v>
      </c>
      <c r="G148" s="1">
        <v>45318</v>
      </c>
      <c r="H148">
        <v>328</v>
      </c>
      <c r="I148">
        <v>1.8</v>
      </c>
      <c r="J148">
        <v>1</v>
      </c>
      <c r="K148" t="str">
        <f>IF(customer[[#This Row],[IsChurned]]=1,"Churned","Active")</f>
        <v>Churned</v>
      </c>
      <c r="L148" t="str">
        <f>TEXT(customer[[#This Row],[SubscriptionDate]],"mmm-yyyy")</f>
        <v>Apr-2023</v>
      </c>
      <c r="M148" s="1">
        <f ca="1">TODAY()-customer[[#This Row],[LastLoginDate]]</f>
        <v>725</v>
      </c>
    </row>
    <row r="149" spans="1:13" x14ac:dyDescent="0.3">
      <c r="A149">
        <v>148</v>
      </c>
      <c r="B149" t="s">
        <v>162</v>
      </c>
      <c r="C149">
        <v>51</v>
      </c>
      <c r="D149" t="s">
        <v>14</v>
      </c>
      <c r="E149" t="s">
        <v>18</v>
      </c>
      <c r="F149" s="1">
        <v>44748</v>
      </c>
      <c r="G149" s="1">
        <v>44882</v>
      </c>
      <c r="H149">
        <v>46</v>
      </c>
      <c r="I149">
        <v>3.8</v>
      </c>
      <c r="J149">
        <v>1</v>
      </c>
      <c r="K149" t="str">
        <f>IF(customer[[#This Row],[IsChurned]]=1,"Churned","Active")</f>
        <v>Churned</v>
      </c>
      <c r="L149" t="str">
        <f>TEXT(customer[[#This Row],[SubscriptionDate]],"mmm-yyyy")</f>
        <v>Jul-2022</v>
      </c>
      <c r="M149" s="1">
        <f ca="1">TODAY()-customer[[#This Row],[LastLoginDate]]</f>
        <v>1161</v>
      </c>
    </row>
    <row r="150" spans="1:13" x14ac:dyDescent="0.3">
      <c r="A150">
        <v>149</v>
      </c>
      <c r="B150" t="s">
        <v>163</v>
      </c>
      <c r="C150">
        <v>18</v>
      </c>
      <c r="D150" t="s">
        <v>14</v>
      </c>
      <c r="E150" t="s">
        <v>12</v>
      </c>
      <c r="F150" s="1">
        <v>45087</v>
      </c>
      <c r="G150" s="1">
        <v>45117</v>
      </c>
      <c r="H150">
        <v>4</v>
      </c>
      <c r="I150">
        <v>4.2</v>
      </c>
      <c r="J150">
        <v>0</v>
      </c>
      <c r="K150" t="str">
        <f>IF(customer[[#This Row],[IsChurned]]=1,"Churned","Active")</f>
        <v>Active</v>
      </c>
      <c r="L150" t="str">
        <f>TEXT(customer[[#This Row],[SubscriptionDate]],"mmm-yyyy")</f>
        <v>Jun-2023</v>
      </c>
      <c r="M150" s="1">
        <f ca="1">TODAY()-customer[[#This Row],[LastLoginDate]]</f>
        <v>926</v>
      </c>
    </row>
    <row r="151" spans="1:13" x14ac:dyDescent="0.3">
      <c r="A151">
        <v>150</v>
      </c>
      <c r="B151" t="s">
        <v>164</v>
      </c>
      <c r="C151">
        <v>26</v>
      </c>
      <c r="D151" t="s">
        <v>11</v>
      </c>
      <c r="E151" t="s">
        <v>12</v>
      </c>
      <c r="F151" s="1">
        <v>44565</v>
      </c>
      <c r="G151" s="1">
        <v>44855</v>
      </c>
      <c r="H151">
        <v>206</v>
      </c>
      <c r="I151">
        <v>4</v>
      </c>
      <c r="J151">
        <v>1</v>
      </c>
      <c r="K151" t="str">
        <f>IF(customer[[#This Row],[IsChurned]]=1,"Churned","Active")</f>
        <v>Churned</v>
      </c>
      <c r="L151" t="str">
        <f>TEXT(customer[[#This Row],[SubscriptionDate]],"mmm-yyyy")</f>
        <v>Jan-2022</v>
      </c>
      <c r="M151" s="1">
        <f ca="1">TODAY()-customer[[#This Row],[LastLoginDate]]</f>
        <v>1188</v>
      </c>
    </row>
    <row r="152" spans="1:13" x14ac:dyDescent="0.3">
      <c r="A152">
        <v>151</v>
      </c>
      <c r="B152" t="s">
        <v>165</v>
      </c>
      <c r="C152">
        <v>26</v>
      </c>
      <c r="D152" t="s">
        <v>11</v>
      </c>
      <c r="E152" t="s">
        <v>12</v>
      </c>
      <c r="F152" s="1">
        <v>44782</v>
      </c>
      <c r="G152" s="1">
        <v>44924</v>
      </c>
      <c r="H152">
        <v>32</v>
      </c>
      <c r="I152">
        <v>3.1</v>
      </c>
      <c r="J152">
        <v>1</v>
      </c>
      <c r="K152" t="str">
        <f>IF(customer[[#This Row],[IsChurned]]=1,"Churned","Active")</f>
        <v>Churned</v>
      </c>
      <c r="L152" t="str">
        <f>TEXT(customer[[#This Row],[SubscriptionDate]],"mmm-yyyy")</f>
        <v>Aug-2022</v>
      </c>
      <c r="M152" s="1">
        <f ca="1">TODAY()-customer[[#This Row],[LastLoginDate]]</f>
        <v>1119</v>
      </c>
    </row>
    <row r="153" spans="1:13" x14ac:dyDescent="0.3">
      <c r="A153">
        <v>152</v>
      </c>
      <c r="B153" t="s">
        <v>166</v>
      </c>
      <c r="C153">
        <v>55</v>
      </c>
      <c r="D153" t="s">
        <v>14</v>
      </c>
      <c r="E153" t="s">
        <v>18</v>
      </c>
      <c r="F153" s="1">
        <v>45269</v>
      </c>
      <c r="G153" s="1">
        <v>45560</v>
      </c>
      <c r="H153">
        <v>433</v>
      </c>
      <c r="I153">
        <v>1.5</v>
      </c>
      <c r="J153">
        <v>1</v>
      </c>
      <c r="K153" t="str">
        <f>IF(customer[[#This Row],[IsChurned]]=1,"Churned","Active")</f>
        <v>Churned</v>
      </c>
      <c r="L153" t="str">
        <f>TEXT(customer[[#This Row],[SubscriptionDate]],"mmm-yyyy")</f>
        <v>Dec-2023</v>
      </c>
      <c r="M153" s="1">
        <f ca="1">TODAY()-customer[[#This Row],[LastLoginDate]]</f>
        <v>483</v>
      </c>
    </row>
    <row r="154" spans="1:13" x14ac:dyDescent="0.3">
      <c r="A154">
        <v>153</v>
      </c>
      <c r="B154" t="s">
        <v>167</v>
      </c>
      <c r="C154">
        <v>49</v>
      </c>
      <c r="D154" t="s">
        <v>14</v>
      </c>
      <c r="E154" t="s">
        <v>12</v>
      </c>
      <c r="F154" s="1">
        <v>45374</v>
      </c>
      <c r="G154" s="1">
        <v>45562</v>
      </c>
      <c r="H154">
        <v>156</v>
      </c>
      <c r="I154">
        <v>2.9</v>
      </c>
      <c r="J154">
        <v>0</v>
      </c>
      <c r="K154" t="str">
        <f>IF(customer[[#This Row],[IsChurned]]=1,"Churned","Active")</f>
        <v>Active</v>
      </c>
      <c r="L154" t="str">
        <f>TEXT(customer[[#This Row],[SubscriptionDate]],"mmm-yyyy")</f>
        <v>Mar-2024</v>
      </c>
      <c r="M154" s="1">
        <f ca="1">TODAY()-customer[[#This Row],[LastLoginDate]]</f>
        <v>481</v>
      </c>
    </row>
    <row r="155" spans="1:13" x14ac:dyDescent="0.3">
      <c r="A155">
        <v>154</v>
      </c>
      <c r="B155" t="s">
        <v>168</v>
      </c>
      <c r="C155">
        <v>24</v>
      </c>
      <c r="D155" t="s">
        <v>14</v>
      </c>
      <c r="E155" t="s">
        <v>15</v>
      </c>
      <c r="F155" s="1">
        <v>45377</v>
      </c>
      <c r="G155" s="1">
        <v>45399</v>
      </c>
      <c r="H155">
        <v>251</v>
      </c>
      <c r="I155">
        <v>3.9</v>
      </c>
      <c r="J155">
        <v>1</v>
      </c>
      <c r="K155" t="str">
        <f>IF(customer[[#This Row],[IsChurned]]=1,"Churned","Active")</f>
        <v>Churned</v>
      </c>
      <c r="L155" t="str">
        <f>TEXT(customer[[#This Row],[SubscriptionDate]],"mmm-yyyy")</f>
        <v>Mar-2024</v>
      </c>
      <c r="M155" s="1">
        <f ca="1">TODAY()-customer[[#This Row],[LastLoginDate]]</f>
        <v>644</v>
      </c>
    </row>
    <row r="156" spans="1:13" x14ac:dyDescent="0.3">
      <c r="A156">
        <v>155</v>
      </c>
      <c r="B156" t="s">
        <v>169</v>
      </c>
      <c r="C156">
        <v>18</v>
      </c>
      <c r="D156" t="s">
        <v>14</v>
      </c>
      <c r="E156" t="s">
        <v>18</v>
      </c>
      <c r="F156" s="1">
        <v>45435</v>
      </c>
      <c r="G156" s="1">
        <v>45445</v>
      </c>
      <c r="H156">
        <v>35</v>
      </c>
      <c r="I156">
        <v>1.3</v>
      </c>
      <c r="J156">
        <v>0</v>
      </c>
      <c r="K156" t="str">
        <f>IF(customer[[#This Row],[IsChurned]]=1,"Churned","Active")</f>
        <v>Active</v>
      </c>
      <c r="L156" t="str">
        <f>TEXT(customer[[#This Row],[SubscriptionDate]],"mmm-yyyy")</f>
        <v>May-2024</v>
      </c>
      <c r="M156" s="1">
        <f ca="1">TODAY()-customer[[#This Row],[LastLoginDate]]</f>
        <v>598</v>
      </c>
    </row>
    <row r="157" spans="1:13" x14ac:dyDescent="0.3">
      <c r="A157">
        <v>156</v>
      </c>
      <c r="B157" t="s">
        <v>170</v>
      </c>
      <c r="C157">
        <v>21</v>
      </c>
      <c r="D157" t="s">
        <v>11</v>
      </c>
      <c r="E157" t="s">
        <v>18</v>
      </c>
      <c r="F157" s="1">
        <v>45300</v>
      </c>
      <c r="G157" s="1">
        <v>45311</v>
      </c>
      <c r="H157">
        <v>426</v>
      </c>
      <c r="I157">
        <v>1.1000000000000001</v>
      </c>
      <c r="J157">
        <v>0</v>
      </c>
      <c r="K157" t="str">
        <f>IF(customer[[#This Row],[IsChurned]]=1,"Churned","Active")</f>
        <v>Active</v>
      </c>
      <c r="L157" t="str">
        <f>TEXT(customer[[#This Row],[SubscriptionDate]],"mmm-yyyy")</f>
        <v>Jan-2024</v>
      </c>
      <c r="M157" s="1">
        <f ca="1">TODAY()-customer[[#This Row],[LastLoginDate]]</f>
        <v>732</v>
      </c>
    </row>
    <row r="158" spans="1:13" x14ac:dyDescent="0.3">
      <c r="A158">
        <v>157</v>
      </c>
      <c r="B158" t="s">
        <v>171</v>
      </c>
      <c r="C158">
        <v>20</v>
      </c>
      <c r="D158" t="s">
        <v>14</v>
      </c>
      <c r="E158" t="s">
        <v>18</v>
      </c>
      <c r="F158" s="1">
        <v>45336</v>
      </c>
      <c r="G158" s="1">
        <v>45372</v>
      </c>
      <c r="H158">
        <v>40</v>
      </c>
      <c r="I158">
        <v>3.7</v>
      </c>
      <c r="J158">
        <v>1</v>
      </c>
      <c r="K158" t="str">
        <f>IF(customer[[#This Row],[IsChurned]]=1,"Churned","Active")</f>
        <v>Churned</v>
      </c>
      <c r="L158" t="str">
        <f>TEXT(customer[[#This Row],[SubscriptionDate]],"mmm-yyyy")</f>
        <v>Feb-2024</v>
      </c>
      <c r="M158" s="1">
        <f ca="1">TODAY()-customer[[#This Row],[LastLoginDate]]</f>
        <v>671</v>
      </c>
    </row>
    <row r="159" spans="1:13" x14ac:dyDescent="0.3">
      <c r="A159">
        <v>158</v>
      </c>
      <c r="B159" t="s">
        <v>172</v>
      </c>
      <c r="C159">
        <v>50</v>
      </c>
      <c r="D159" t="s">
        <v>11</v>
      </c>
      <c r="E159" t="s">
        <v>18</v>
      </c>
      <c r="F159" s="1">
        <v>45024</v>
      </c>
      <c r="G159" s="1">
        <v>45084</v>
      </c>
      <c r="H159">
        <v>260</v>
      </c>
      <c r="I159">
        <v>4</v>
      </c>
      <c r="J159">
        <v>0</v>
      </c>
      <c r="K159" t="str">
        <f>IF(customer[[#This Row],[IsChurned]]=1,"Churned","Active")</f>
        <v>Active</v>
      </c>
      <c r="L159" t="str">
        <f>TEXT(customer[[#This Row],[SubscriptionDate]],"mmm-yyyy")</f>
        <v>Apr-2023</v>
      </c>
      <c r="M159" s="1">
        <f ca="1">TODAY()-customer[[#This Row],[LastLoginDate]]</f>
        <v>959</v>
      </c>
    </row>
    <row r="160" spans="1:13" x14ac:dyDescent="0.3">
      <c r="A160">
        <v>159</v>
      </c>
      <c r="B160" t="s">
        <v>173</v>
      </c>
      <c r="C160">
        <v>33</v>
      </c>
      <c r="D160" t="s">
        <v>11</v>
      </c>
      <c r="E160" t="s">
        <v>15</v>
      </c>
      <c r="F160" s="1">
        <v>45202</v>
      </c>
      <c r="G160" s="1">
        <v>45513</v>
      </c>
      <c r="H160">
        <v>274</v>
      </c>
      <c r="I160">
        <v>3.7</v>
      </c>
      <c r="J160">
        <v>0</v>
      </c>
      <c r="K160" t="str">
        <f>IF(customer[[#This Row],[IsChurned]]=1,"Churned","Active")</f>
        <v>Active</v>
      </c>
      <c r="L160" t="str">
        <f>TEXT(customer[[#This Row],[SubscriptionDate]],"mmm-yyyy")</f>
        <v>Oct-2023</v>
      </c>
      <c r="M160" s="1">
        <f ca="1">TODAY()-customer[[#This Row],[LastLoginDate]]</f>
        <v>530</v>
      </c>
    </row>
    <row r="161" spans="1:13" x14ac:dyDescent="0.3">
      <c r="A161">
        <v>160</v>
      </c>
      <c r="B161" t="s">
        <v>174</v>
      </c>
      <c r="C161">
        <v>53</v>
      </c>
      <c r="D161" t="s">
        <v>14</v>
      </c>
      <c r="E161" t="s">
        <v>12</v>
      </c>
      <c r="F161" s="1">
        <v>45024</v>
      </c>
      <c r="G161" s="1">
        <v>45141</v>
      </c>
      <c r="H161">
        <v>49</v>
      </c>
      <c r="I161">
        <v>1.8</v>
      </c>
      <c r="J161">
        <v>0</v>
      </c>
      <c r="K161" t="str">
        <f>IF(customer[[#This Row],[IsChurned]]=1,"Churned","Active")</f>
        <v>Active</v>
      </c>
      <c r="L161" t="str">
        <f>TEXT(customer[[#This Row],[SubscriptionDate]],"mmm-yyyy")</f>
        <v>Apr-2023</v>
      </c>
      <c r="M161" s="1">
        <f ca="1">TODAY()-customer[[#This Row],[LastLoginDate]]</f>
        <v>902</v>
      </c>
    </row>
    <row r="162" spans="1:13" x14ac:dyDescent="0.3">
      <c r="A162">
        <v>161</v>
      </c>
      <c r="B162" t="s">
        <v>175</v>
      </c>
      <c r="C162">
        <v>29</v>
      </c>
      <c r="D162" t="s">
        <v>11</v>
      </c>
      <c r="E162" t="s">
        <v>18</v>
      </c>
      <c r="F162" s="1">
        <v>44685</v>
      </c>
      <c r="G162" s="1">
        <v>44934</v>
      </c>
      <c r="H162">
        <v>339</v>
      </c>
      <c r="I162">
        <v>1.1000000000000001</v>
      </c>
      <c r="J162">
        <v>1</v>
      </c>
      <c r="K162" t="str">
        <f>IF(customer[[#This Row],[IsChurned]]=1,"Churned","Active")</f>
        <v>Churned</v>
      </c>
      <c r="L162" t="str">
        <f>TEXT(customer[[#This Row],[SubscriptionDate]],"mmm-yyyy")</f>
        <v>May-2022</v>
      </c>
      <c r="M162" s="1">
        <f ca="1">TODAY()-customer[[#This Row],[LastLoginDate]]</f>
        <v>1109</v>
      </c>
    </row>
    <row r="163" spans="1:13" x14ac:dyDescent="0.3">
      <c r="A163">
        <v>162</v>
      </c>
      <c r="B163" t="s">
        <v>176</v>
      </c>
      <c r="C163">
        <v>31</v>
      </c>
      <c r="D163" t="s">
        <v>14</v>
      </c>
      <c r="E163" t="s">
        <v>15</v>
      </c>
      <c r="F163" s="1">
        <v>45284</v>
      </c>
      <c r="G163" s="1">
        <v>45575</v>
      </c>
      <c r="H163">
        <v>85</v>
      </c>
      <c r="I163">
        <v>2.8</v>
      </c>
      <c r="J163">
        <v>0</v>
      </c>
      <c r="K163" t="str">
        <f>IF(customer[[#This Row],[IsChurned]]=1,"Churned","Active")</f>
        <v>Active</v>
      </c>
      <c r="L163" t="str">
        <f>TEXT(customer[[#This Row],[SubscriptionDate]],"mmm-yyyy")</f>
        <v>Dec-2023</v>
      </c>
      <c r="M163" s="1">
        <f ca="1">TODAY()-customer[[#This Row],[LastLoginDate]]</f>
        <v>468</v>
      </c>
    </row>
    <row r="164" spans="1:13" x14ac:dyDescent="0.3">
      <c r="A164">
        <v>163</v>
      </c>
      <c r="B164" t="s">
        <v>177</v>
      </c>
      <c r="C164">
        <v>57</v>
      </c>
      <c r="D164" t="s">
        <v>11</v>
      </c>
      <c r="E164" t="s">
        <v>15</v>
      </c>
      <c r="F164" s="1">
        <v>45243</v>
      </c>
      <c r="G164" s="1">
        <v>45388</v>
      </c>
      <c r="H164">
        <v>446</v>
      </c>
      <c r="I164">
        <v>1.3</v>
      </c>
      <c r="J164">
        <v>0</v>
      </c>
      <c r="K164" t="str">
        <f>IF(customer[[#This Row],[IsChurned]]=1,"Churned","Active")</f>
        <v>Active</v>
      </c>
      <c r="L164" t="str">
        <f>TEXT(customer[[#This Row],[SubscriptionDate]],"mmm-yyyy")</f>
        <v>Nov-2023</v>
      </c>
      <c r="M164" s="1">
        <f ca="1">TODAY()-customer[[#This Row],[LastLoginDate]]</f>
        <v>655</v>
      </c>
    </row>
    <row r="165" spans="1:13" x14ac:dyDescent="0.3">
      <c r="A165">
        <v>164</v>
      </c>
      <c r="B165" t="s">
        <v>178</v>
      </c>
      <c r="C165">
        <v>22</v>
      </c>
      <c r="D165" t="s">
        <v>14</v>
      </c>
      <c r="E165" t="s">
        <v>18</v>
      </c>
      <c r="F165" s="1">
        <v>45416</v>
      </c>
      <c r="G165" s="1">
        <v>45477</v>
      </c>
      <c r="H165">
        <v>218</v>
      </c>
      <c r="I165">
        <v>4.8</v>
      </c>
      <c r="J165">
        <v>0</v>
      </c>
      <c r="K165" t="str">
        <f>IF(customer[[#This Row],[IsChurned]]=1,"Churned","Active")</f>
        <v>Active</v>
      </c>
      <c r="L165" t="str">
        <f>TEXT(customer[[#This Row],[SubscriptionDate]],"mmm-yyyy")</f>
        <v>May-2024</v>
      </c>
      <c r="M165" s="1">
        <f ca="1">TODAY()-customer[[#This Row],[LastLoginDate]]</f>
        <v>566</v>
      </c>
    </row>
    <row r="166" spans="1:13" x14ac:dyDescent="0.3">
      <c r="A166">
        <v>165</v>
      </c>
      <c r="B166" t="s">
        <v>179</v>
      </c>
      <c r="C166">
        <v>56</v>
      </c>
      <c r="D166" t="s">
        <v>14</v>
      </c>
      <c r="E166" t="s">
        <v>18</v>
      </c>
      <c r="F166" s="1">
        <v>45296</v>
      </c>
      <c r="G166" s="1">
        <v>45483</v>
      </c>
      <c r="H166">
        <v>256</v>
      </c>
      <c r="I166">
        <v>3</v>
      </c>
      <c r="J166">
        <v>1</v>
      </c>
      <c r="K166" t="str">
        <f>IF(customer[[#This Row],[IsChurned]]=1,"Churned","Active")</f>
        <v>Churned</v>
      </c>
      <c r="L166" t="str">
        <f>TEXT(customer[[#This Row],[SubscriptionDate]],"mmm-yyyy")</f>
        <v>Jan-2024</v>
      </c>
      <c r="M166" s="1">
        <f ca="1">TODAY()-customer[[#This Row],[LastLoginDate]]</f>
        <v>560</v>
      </c>
    </row>
    <row r="167" spans="1:13" x14ac:dyDescent="0.3">
      <c r="A167">
        <v>166</v>
      </c>
      <c r="B167" t="s">
        <v>180</v>
      </c>
      <c r="C167">
        <v>26</v>
      </c>
      <c r="D167" t="s">
        <v>14</v>
      </c>
      <c r="E167" t="s">
        <v>18</v>
      </c>
      <c r="F167" s="1">
        <v>44885</v>
      </c>
      <c r="G167" s="1">
        <v>45094</v>
      </c>
      <c r="H167">
        <v>206</v>
      </c>
      <c r="I167">
        <v>1.8</v>
      </c>
      <c r="J167">
        <v>0</v>
      </c>
      <c r="K167" t="str">
        <f>IF(customer[[#This Row],[IsChurned]]=1,"Churned","Active")</f>
        <v>Active</v>
      </c>
      <c r="L167" t="str">
        <f>TEXT(customer[[#This Row],[SubscriptionDate]],"mmm-yyyy")</f>
        <v>Nov-2022</v>
      </c>
      <c r="M167" s="1">
        <f ca="1">TODAY()-customer[[#This Row],[LastLoginDate]]</f>
        <v>949</v>
      </c>
    </row>
    <row r="168" spans="1:13" x14ac:dyDescent="0.3">
      <c r="A168">
        <v>167</v>
      </c>
      <c r="B168" t="s">
        <v>181</v>
      </c>
      <c r="C168">
        <v>43</v>
      </c>
      <c r="D168" t="s">
        <v>14</v>
      </c>
      <c r="E168" t="s">
        <v>15</v>
      </c>
      <c r="F168" s="1">
        <v>45146</v>
      </c>
      <c r="G168" s="1">
        <v>45158</v>
      </c>
      <c r="H168">
        <v>64</v>
      </c>
      <c r="I168">
        <v>4</v>
      </c>
      <c r="J168">
        <v>1</v>
      </c>
      <c r="K168" t="str">
        <f>IF(customer[[#This Row],[IsChurned]]=1,"Churned","Active")</f>
        <v>Churned</v>
      </c>
      <c r="L168" t="str">
        <f>TEXT(customer[[#This Row],[SubscriptionDate]],"mmm-yyyy")</f>
        <v>Aug-2023</v>
      </c>
      <c r="M168" s="1">
        <f ca="1">TODAY()-customer[[#This Row],[LastLoginDate]]</f>
        <v>885</v>
      </c>
    </row>
    <row r="169" spans="1:13" x14ac:dyDescent="0.3">
      <c r="A169">
        <v>168</v>
      </c>
      <c r="B169" t="s">
        <v>182</v>
      </c>
      <c r="C169">
        <v>25</v>
      </c>
      <c r="D169" t="s">
        <v>14</v>
      </c>
      <c r="E169" t="s">
        <v>12</v>
      </c>
      <c r="F169" s="1">
        <v>44898</v>
      </c>
      <c r="G169" s="1">
        <v>45069</v>
      </c>
      <c r="H169">
        <v>218</v>
      </c>
      <c r="I169">
        <v>1.7</v>
      </c>
      <c r="J169">
        <v>0</v>
      </c>
      <c r="K169" t="str">
        <f>IF(customer[[#This Row],[IsChurned]]=1,"Churned","Active")</f>
        <v>Active</v>
      </c>
      <c r="L169" t="str">
        <f>TEXT(customer[[#This Row],[SubscriptionDate]],"mmm-yyyy")</f>
        <v>Dec-2022</v>
      </c>
      <c r="M169" s="1">
        <f ca="1">TODAY()-customer[[#This Row],[LastLoginDate]]</f>
        <v>974</v>
      </c>
    </row>
    <row r="170" spans="1:13" x14ac:dyDescent="0.3">
      <c r="A170">
        <v>169</v>
      </c>
      <c r="B170" t="s">
        <v>183</v>
      </c>
      <c r="C170">
        <v>56</v>
      </c>
      <c r="D170" t="s">
        <v>14</v>
      </c>
      <c r="E170" t="s">
        <v>12</v>
      </c>
      <c r="F170" s="1">
        <v>44838</v>
      </c>
      <c r="G170" s="1">
        <v>44989</v>
      </c>
      <c r="H170">
        <v>217</v>
      </c>
      <c r="I170">
        <v>2.9</v>
      </c>
      <c r="J170">
        <v>1</v>
      </c>
      <c r="K170" t="str">
        <f>IF(customer[[#This Row],[IsChurned]]=1,"Churned","Active")</f>
        <v>Churned</v>
      </c>
      <c r="L170" t="str">
        <f>TEXT(customer[[#This Row],[SubscriptionDate]],"mmm-yyyy")</f>
        <v>Oct-2022</v>
      </c>
      <c r="M170" s="1">
        <f ca="1">TODAY()-customer[[#This Row],[LastLoginDate]]</f>
        <v>1054</v>
      </c>
    </row>
    <row r="171" spans="1:13" x14ac:dyDescent="0.3">
      <c r="A171">
        <v>170</v>
      </c>
      <c r="B171" t="s">
        <v>184</v>
      </c>
      <c r="C171">
        <v>50</v>
      </c>
      <c r="D171" t="s">
        <v>14</v>
      </c>
      <c r="E171" t="s">
        <v>18</v>
      </c>
      <c r="F171" s="1">
        <v>45289</v>
      </c>
      <c r="G171" s="1">
        <v>45376</v>
      </c>
      <c r="H171">
        <v>385</v>
      </c>
      <c r="I171">
        <v>4.2</v>
      </c>
      <c r="J171">
        <v>1</v>
      </c>
      <c r="K171" t="str">
        <f>IF(customer[[#This Row],[IsChurned]]=1,"Churned","Active")</f>
        <v>Churned</v>
      </c>
      <c r="L171" t="str">
        <f>TEXT(customer[[#This Row],[SubscriptionDate]],"mmm-yyyy")</f>
        <v>Dec-2023</v>
      </c>
      <c r="M171" s="1">
        <f ca="1">TODAY()-customer[[#This Row],[LastLoginDate]]</f>
        <v>667</v>
      </c>
    </row>
    <row r="172" spans="1:13" x14ac:dyDescent="0.3">
      <c r="A172">
        <v>171</v>
      </c>
      <c r="B172" t="s">
        <v>185</v>
      </c>
      <c r="C172">
        <v>55</v>
      </c>
      <c r="D172" t="s">
        <v>11</v>
      </c>
      <c r="E172" t="s">
        <v>18</v>
      </c>
      <c r="F172" s="1">
        <v>44724</v>
      </c>
      <c r="G172" s="1">
        <v>45033</v>
      </c>
      <c r="H172">
        <v>314</v>
      </c>
      <c r="I172">
        <v>3.2</v>
      </c>
      <c r="J172">
        <v>0</v>
      </c>
      <c r="K172" t="str">
        <f>IF(customer[[#This Row],[IsChurned]]=1,"Churned","Active")</f>
        <v>Active</v>
      </c>
      <c r="L172" t="str">
        <f>TEXT(customer[[#This Row],[SubscriptionDate]],"mmm-yyyy")</f>
        <v>Jun-2022</v>
      </c>
      <c r="M172" s="1">
        <f ca="1">TODAY()-customer[[#This Row],[LastLoginDate]]</f>
        <v>1010</v>
      </c>
    </row>
    <row r="173" spans="1:13" x14ac:dyDescent="0.3">
      <c r="A173">
        <v>172</v>
      </c>
      <c r="B173" t="s">
        <v>186</v>
      </c>
      <c r="C173">
        <v>26</v>
      </c>
      <c r="D173" t="s">
        <v>14</v>
      </c>
      <c r="E173" t="s">
        <v>15</v>
      </c>
      <c r="F173" s="1">
        <v>45220</v>
      </c>
      <c r="G173" s="1">
        <v>45467</v>
      </c>
      <c r="H173">
        <v>174</v>
      </c>
      <c r="I173">
        <v>2.8</v>
      </c>
      <c r="J173">
        <v>0</v>
      </c>
      <c r="K173" t="str">
        <f>IF(customer[[#This Row],[IsChurned]]=1,"Churned","Active")</f>
        <v>Active</v>
      </c>
      <c r="L173" t="str">
        <f>TEXT(customer[[#This Row],[SubscriptionDate]],"mmm-yyyy")</f>
        <v>Oct-2023</v>
      </c>
      <c r="M173" s="1">
        <f ca="1">TODAY()-customer[[#This Row],[LastLoginDate]]</f>
        <v>576</v>
      </c>
    </row>
    <row r="174" spans="1:13" x14ac:dyDescent="0.3">
      <c r="A174">
        <v>173</v>
      </c>
      <c r="B174" t="s">
        <v>187</v>
      </c>
      <c r="C174">
        <v>29</v>
      </c>
      <c r="D174" t="s">
        <v>11</v>
      </c>
      <c r="E174" t="s">
        <v>18</v>
      </c>
      <c r="F174" s="1">
        <v>45231</v>
      </c>
      <c r="G174" s="1">
        <v>45288</v>
      </c>
      <c r="H174">
        <v>193</v>
      </c>
      <c r="I174">
        <v>4.5</v>
      </c>
      <c r="J174">
        <v>0</v>
      </c>
      <c r="K174" t="str">
        <f>IF(customer[[#This Row],[IsChurned]]=1,"Churned","Active")</f>
        <v>Active</v>
      </c>
      <c r="L174" t="str">
        <f>TEXT(customer[[#This Row],[SubscriptionDate]],"mmm-yyyy")</f>
        <v>Nov-2023</v>
      </c>
      <c r="M174" s="1">
        <f ca="1">TODAY()-customer[[#This Row],[LastLoginDate]]</f>
        <v>755</v>
      </c>
    </row>
    <row r="175" spans="1:13" x14ac:dyDescent="0.3">
      <c r="A175">
        <v>174</v>
      </c>
      <c r="B175" t="s">
        <v>188</v>
      </c>
      <c r="C175">
        <v>34</v>
      </c>
      <c r="D175" t="s">
        <v>14</v>
      </c>
      <c r="E175" t="s">
        <v>12</v>
      </c>
      <c r="F175" s="1">
        <v>44727</v>
      </c>
      <c r="G175" s="1">
        <v>44797</v>
      </c>
      <c r="H175">
        <v>349</v>
      </c>
      <c r="I175">
        <v>2.2999999999999998</v>
      </c>
      <c r="J175">
        <v>0</v>
      </c>
      <c r="K175" t="str">
        <f>IF(customer[[#This Row],[IsChurned]]=1,"Churned","Active")</f>
        <v>Active</v>
      </c>
      <c r="L175" t="str">
        <f>TEXT(customer[[#This Row],[SubscriptionDate]],"mmm-yyyy")</f>
        <v>Jun-2022</v>
      </c>
      <c r="M175" s="1">
        <f ca="1">TODAY()-customer[[#This Row],[LastLoginDate]]</f>
        <v>1246</v>
      </c>
    </row>
    <row r="176" spans="1:13" x14ac:dyDescent="0.3">
      <c r="A176">
        <v>175</v>
      </c>
      <c r="B176" t="s">
        <v>189</v>
      </c>
      <c r="C176">
        <v>58</v>
      </c>
      <c r="D176" t="s">
        <v>14</v>
      </c>
      <c r="E176" t="s">
        <v>15</v>
      </c>
      <c r="F176" s="1">
        <v>45408</v>
      </c>
      <c r="G176" s="1">
        <v>45545</v>
      </c>
      <c r="H176">
        <v>479</v>
      </c>
      <c r="I176">
        <v>4.9000000000000004</v>
      </c>
      <c r="J176">
        <v>0</v>
      </c>
      <c r="K176" t="str">
        <f>IF(customer[[#This Row],[IsChurned]]=1,"Churned","Active")</f>
        <v>Active</v>
      </c>
      <c r="L176" t="str">
        <f>TEXT(customer[[#This Row],[SubscriptionDate]],"mmm-yyyy")</f>
        <v>Apr-2024</v>
      </c>
      <c r="M176" s="1">
        <f ca="1">TODAY()-customer[[#This Row],[LastLoginDate]]</f>
        <v>498</v>
      </c>
    </row>
    <row r="177" spans="1:13" x14ac:dyDescent="0.3">
      <c r="A177">
        <v>176</v>
      </c>
      <c r="B177" t="s">
        <v>190</v>
      </c>
      <c r="C177">
        <v>64</v>
      </c>
      <c r="D177" t="s">
        <v>14</v>
      </c>
      <c r="E177" t="s">
        <v>15</v>
      </c>
      <c r="F177" s="1">
        <v>45115</v>
      </c>
      <c r="G177" s="1">
        <v>45185</v>
      </c>
      <c r="H177">
        <v>260</v>
      </c>
      <c r="I177">
        <v>3.5</v>
      </c>
      <c r="J177">
        <v>1</v>
      </c>
      <c r="K177" t="str">
        <f>IF(customer[[#This Row],[IsChurned]]=1,"Churned","Active")</f>
        <v>Churned</v>
      </c>
      <c r="L177" t="str">
        <f>TEXT(customer[[#This Row],[SubscriptionDate]],"mmm-yyyy")</f>
        <v>Jul-2023</v>
      </c>
      <c r="M177" s="1">
        <f ca="1">TODAY()-customer[[#This Row],[LastLoginDate]]</f>
        <v>858</v>
      </c>
    </row>
    <row r="178" spans="1:13" x14ac:dyDescent="0.3">
      <c r="A178">
        <v>177</v>
      </c>
      <c r="B178" t="s">
        <v>191</v>
      </c>
      <c r="C178">
        <v>39</v>
      </c>
      <c r="D178" t="s">
        <v>11</v>
      </c>
      <c r="E178" t="s">
        <v>12</v>
      </c>
      <c r="F178" s="1">
        <v>45020</v>
      </c>
      <c r="G178" s="1">
        <v>45150</v>
      </c>
      <c r="H178">
        <v>462</v>
      </c>
      <c r="I178">
        <v>4</v>
      </c>
      <c r="J178">
        <v>1</v>
      </c>
      <c r="K178" t="str">
        <f>IF(customer[[#This Row],[IsChurned]]=1,"Churned","Active")</f>
        <v>Churned</v>
      </c>
      <c r="L178" t="str">
        <f>TEXT(customer[[#This Row],[SubscriptionDate]],"mmm-yyyy")</f>
        <v>Apr-2023</v>
      </c>
      <c r="M178" s="1">
        <f ca="1">TODAY()-customer[[#This Row],[LastLoginDate]]</f>
        <v>893</v>
      </c>
    </row>
    <row r="179" spans="1:13" x14ac:dyDescent="0.3">
      <c r="A179">
        <v>178</v>
      </c>
      <c r="B179" t="s">
        <v>192</v>
      </c>
      <c r="C179">
        <v>24</v>
      </c>
      <c r="D179" t="s">
        <v>14</v>
      </c>
      <c r="E179" t="s">
        <v>12</v>
      </c>
      <c r="F179" s="1">
        <v>44715</v>
      </c>
      <c r="G179" s="1">
        <v>44751</v>
      </c>
      <c r="H179">
        <v>111</v>
      </c>
      <c r="I179">
        <v>2</v>
      </c>
      <c r="J179">
        <v>0</v>
      </c>
      <c r="K179" t="str">
        <f>IF(customer[[#This Row],[IsChurned]]=1,"Churned","Active")</f>
        <v>Active</v>
      </c>
      <c r="L179" t="str">
        <f>TEXT(customer[[#This Row],[SubscriptionDate]],"mmm-yyyy")</f>
        <v>Jun-2022</v>
      </c>
      <c r="M179" s="1">
        <f ca="1">TODAY()-customer[[#This Row],[LastLoginDate]]</f>
        <v>1292</v>
      </c>
    </row>
    <row r="180" spans="1:13" x14ac:dyDescent="0.3">
      <c r="A180">
        <v>179</v>
      </c>
      <c r="B180" t="s">
        <v>193</v>
      </c>
      <c r="C180">
        <v>33</v>
      </c>
      <c r="D180" t="s">
        <v>14</v>
      </c>
      <c r="E180" t="s">
        <v>15</v>
      </c>
      <c r="F180" s="1">
        <v>45328</v>
      </c>
      <c r="G180" s="1">
        <v>45397</v>
      </c>
      <c r="H180">
        <v>433</v>
      </c>
      <c r="I180">
        <v>2.1</v>
      </c>
      <c r="J180">
        <v>0</v>
      </c>
      <c r="K180" t="str">
        <f>IF(customer[[#This Row],[IsChurned]]=1,"Churned","Active")</f>
        <v>Active</v>
      </c>
      <c r="L180" t="str">
        <f>TEXT(customer[[#This Row],[SubscriptionDate]],"mmm-yyyy")</f>
        <v>Feb-2024</v>
      </c>
      <c r="M180" s="1">
        <f ca="1">TODAY()-customer[[#This Row],[LastLoginDate]]</f>
        <v>646</v>
      </c>
    </row>
    <row r="181" spans="1:13" x14ac:dyDescent="0.3">
      <c r="A181">
        <v>180</v>
      </c>
      <c r="B181" t="s">
        <v>194</v>
      </c>
      <c r="C181">
        <v>18</v>
      </c>
      <c r="D181" t="s">
        <v>11</v>
      </c>
      <c r="E181" t="s">
        <v>12</v>
      </c>
      <c r="F181" s="1">
        <v>44623</v>
      </c>
      <c r="G181" s="1">
        <v>44792</v>
      </c>
      <c r="H181">
        <v>158</v>
      </c>
      <c r="I181">
        <v>3.7</v>
      </c>
      <c r="J181">
        <v>0</v>
      </c>
      <c r="K181" t="str">
        <f>IF(customer[[#This Row],[IsChurned]]=1,"Churned","Active")</f>
        <v>Active</v>
      </c>
      <c r="L181" t="str">
        <f>TEXT(customer[[#This Row],[SubscriptionDate]],"mmm-yyyy")</f>
        <v>Mar-2022</v>
      </c>
      <c r="M181" s="1">
        <f ca="1">TODAY()-customer[[#This Row],[LastLoginDate]]</f>
        <v>1251</v>
      </c>
    </row>
    <row r="182" spans="1:13" x14ac:dyDescent="0.3">
      <c r="A182">
        <v>181</v>
      </c>
      <c r="B182" t="s">
        <v>195</v>
      </c>
      <c r="C182">
        <v>41</v>
      </c>
      <c r="D182" t="s">
        <v>14</v>
      </c>
      <c r="E182" t="s">
        <v>18</v>
      </c>
      <c r="F182" s="1">
        <v>44655</v>
      </c>
      <c r="G182" s="1">
        <v>44953</v>
      </c>
      <c r="H182">
        <v>466</v>
      </c>
      <c r="I182">
        <v>4.0999999999999996</v>
      </c>
      <c r="J182">
        <v>1</v>
      </c>
      <c r="K182" t="str">
        <f>IF(customer[[#This Row],[IsChurned]]=1,"Churned","Active")</f>
        <v>Churned</v>
      </c>
      <c r="L182" t="str">
        <f>TEXT(customer[[#This Row],[SubscriptionDate]],"mmm-yyyy")</f>
        <v>Apr-2022</v>
      </c>
      <c r="M182" s="1">
        <f ca="1">TODAY()-customer[[#This Row],[LastLoginDate]]</f>
        <v>1090</v>
      </c>
    </row>
    <row r="183" spans="1:13" x14ac:dyDescent="0.3">
      <c r="A183">
        <v>182</v>
      </c>
      <c r="B183" t="s">
        <v>196</v>
      </c>
      <c r="C183">
        <v>49</v>
      </c>
      <c r="D183" t="s">
        <v>11</v>
      </c>
      <c r="E183" t="s">
        <v>18</v>
      </c>
      <c r="F183" s="1">
        <v>45422</v>
      </c>
      <c r="G183" s="1">
        <v>45590</v>
      </c>
      <c r="H183">
        <v>223</v>
      </c>
      <c r="I183">
        <v>4</v>
      </c>
      <c r="J183">
        <v>0</v>
      </c>
      <c r="K183" t="str">
        <f>IF(customer[[#This Row],[IsChurned]]=1,"Churned","Active")</f>
        <v>Active</v>
      </c>
      <c r="L183" t="str">
        <f>TEXT(customer[[#This Row],[SubscriptionDate]],"mmm-yyyy")</f>
        <v>May-2024</v>
      </c>
      <c r="M183" s="1">
        <f ca="1">TODAY()-customer[[#This Row],[LastLoginDate]]</f>
        <v>453</v>
      </c>
    </row>
    <row r="184" spans="1:13" x14ac:dyDescent="0.3">
      <c r="A184">
        <v>183</v>
      </c>
      <c r="B184" t="s">
        <v>197</v>
      </c>
      <c r="C184">
        <v>45</v>
      </c>
      <c r="D184" t="s">
        <v>14</v>
      </c>
      <c r="E184" t="s">
        <v>15</v>
      </c>
      <c r="F184" s="1">
        <v>44733</v>
      </c>
      <c r="G184" s="1">
        <v>44849</v>
      </c>
      <c r="H184">
        <v>385</v>
      </c>
      <c r="I184">
        <v>3.9</v>
      </c>
      <c r="J184">
        <v>0</v>
      </c>
      <c r="K184" t="str">
        <f>IF(customer[[#This Row],[IsChurned]]=1,"Churned","Active")</f>
        <v>Active</v>
      </c>
      <c r="L184" t="str">
        <f>TEXT(customer[[#This Row],[SubscriptionDate]],"mmm-yyyy")</f>
        <v>Jun-2022</v>
      </c>
      <c r="M184" s="1">
        <f ca="1">TODAY()-customer[[#This Row],[LastLoginDate]]</f>
        <v>1194</v>
      </c>
    </row>
    <row r="185" spans="1:13" x14ac:dyDescent="0.3">
      <c r="A185">
        <v>184</v>
      </c>
      <c r="B185" t="s">
        <v>198</v>
      </c>
      <c r="C185">
        <v>64</v>
      </c>
      <c r="D185" t="s">
        <v>14</v>
      </c>
      <c r="E185" t="s">
        <v>18</v>
      </c>
      <c r="F185" s="1">
        <v>45316</v>
      </c>
      <c r="G185" s="1">
        <v>45587</v>
      </c>
      <c r="H185">
        <v>178</v>
      </c>
      <c r="I185">
        <v>3.8</v>
      </c>
      <c r="J185">
        <v>1</v>
      </c>
      <c r="K185" t="str">
        <f>IF(customer[[#This Row],[IsChurned]]=1,"Churned","Active")</f>
        <v>Churned</v>
      </c>
      <c r="L185" t="str">
        <f>TEXT(customer[[#This Row],[SubscriptionDate]],"mmm-yyyy")</f>
        <v>Jan-2024</v>
      </c>
      <c r="M185" s="1">
        <f ca="1">TODAY()-customer[[#This Row],[LastLoginDate]]</f>
        <v>456</v>
      </c>
    </row>
    <row r="186" spans="1:13" x14ac:dyDescent="0.3">
      <c r="A186">
        <v>185</v>
      </c>
      <c r="B186" t="s">
        <v>199</v>
      </c>
      <c r="C186">
        <v>49</v>
      </c>
      <c r="D186" t="s">
        <v>14</v>
      </c>
      <c r="E186" t="s">
        <v>18</v>
      </c>
      <c r="F186" s="1">
        <v>44940</v>
      </c>
      <c r="G186" s="1">
        <v>45287</v>
      </c>
      <c r="H186">
        <v>487</v>
      </c>
      <c r="I186">
        <v>1.5</v>
      </c>
      <c r="J186">
        <v>0</v>
      </c>
      <c r="K186" t="str">
        <f>IF(customer[[#This Row],[IsChurned]]=1,"Churned","Active")</f>
        <v>Active</v>
      </c>
      <c r="L186" t="str">
        <f>TEXT(customer[[#This Row],[SubscriptionDate]],"mmm-yyyy")</f>
        <v>Jan-2023</v>
      </c>
      <c r="M186" s="1">
        <f ca="1">TODAY()-customer[[#This Row],[LastLoginDate]]</f>
        <v>756</v>
      </c>
    </row>
    <row r="187" spans="1:13" x14ac:dyDescent="0.3">
      <c r="A187">
        <v>186</v>
      </c>
      <c r="B187" t="s">
        <v>200</v>
      </c>
      <c r="C187">
        <v>19</v>
      </c>
      <c r="D187" t="s">
        <v>11</v>
      </c>
      <c r="E187" t="s">
        <v>18</v>
      </c>
      <c r="F187" s="1">
        <v>44625</v>
      </c>
      <c r="G187" s="1">
        <v>44716</v>
      </c>
      <c r="H187">
        <v>421</v>
      </c>
      <c r="I187">
        <v>3</v>
      </c>
      <c r="J187">
        <v>0</v>
      </c>
      <c r="K187" t="str">
        <f>IF(customer[[#This Row],[IsChurned]]=1,"Churned","Active")</f>
        <v>Active</v>
      </c>
      <c r="L187" t="str">
        <f>TEXT(customer[[#This Row],[SubscriptionDate]],"mmm-yyyy")</f>
        <v>Mar-2022</v>
      </c>
      <c r="M187" s="1">
        <f ca="1">TODAY()-customer[[#This Row],[LastLoginDate]]</f>
        <v>1327</v>
      </c>
    </row>
    <row r="188" spans="1:13" x14ac:dyDescent="0.3">
      <c r="A188">
        <v>187</v>
      </c>
      <c r="B188" t="s">
        <v>201</v>
      </c>
      <c r="C188">
        <v>48</v>
      </c>
      <c r="D188" t="s">
        <v>11</v>
      </c>
      <c r="E188" t="s">
        <v>18</v>
      </c>
      <c r="F188" s="1">
        <v>44625</v>
      </c>
      <c r="G188" s="1">
        <v>44675</v>
      </c>
      <c r="H188">
        <v>298</v>
      </c>
      <c r="I188">
        <v>2.2999999999999998</v>
      </c>
      <c r="J188">
        <v>1</v>
      </c>
      <c r="K188" t="str">
        <f>IF(customer[[#This Row],[IsChurned]]=1,"Churned","Active")</f>
        <v>Churned</v>
      </c>
      <c r="L188" t="str">
        <f>TEXT(customer[[#This Row],[SubscriptionDate]],"mmm-yyyy")</f>
        <v>Mar-2022</v>
      </c>
      <c r="M188" s="1">
        <f ca="1">TODAY()-customer[[#This Row],[LastLoginDate]]</f>
        <v>1368</v>
      </c>
    </row>
    <row r="189" spans="1:13" x14ac:dyDescent="0.3">
      <c r="A189">
        <v>188</v>
      </c>
      <c r="B189" t="s">
        <v>202</v>
      </c>
      <c r="C189">
        <v>64</v>
      </c>
      <c r="D189" t="s">
        <v>14</v>
      </c>
      <c r="E189" t="s">
        <v>15</v>
      </c>
      <c r="F189" s="1">
        <v>44813</v>
      </c>
      <c r="G189" s="1">
        <v>44999</v>
      </c>
      <c r="H189">
        <v>250</v>
      </c>
      <c r="I189">
        <v>3.9</v>
      </c>
      <c r="J189">
        <v>1</v>
      </c>
      <c r="K189" t="str">
        <f>IF(customer[[#This Row],[IsChurned]]=1,"Churned","Active")</f>
        <v>Churned</v>
      </c>
      <c r="L189" t="str">
        <f>TEXT(customer[[#This Row],[SubscriptionDate]],"mmm-yyyy")</f>
        <v>Sep-2022</v>
      </c>
      <c r="M189" s="1">
        <f ca="1">TODAY()-customer[[#This Row],[LastLoginDate]]</f>
        <v>1044</v>
      </c>
    </row>
    <row r="190" spans="1:13" x14ac:dyDescent="0.3">
      <c r="A190">
        <v>189</v>
      </c>
      <c r="B190" t="s">
        <v>203</v>
      </c>
      <c r="C190">
        <v>47</v>
      </c>
      <c r="D190" t="s">
        <v>11</v>
      </c>
      <c r="E190" t="s">
        <v>12</v>
      </c>
      <c r="F190" s="1">
        <v>44706</v>
      </c>
      <c r="G190" s="1">
        <v>44837</v>
      </c>
      <c r="H190">
        <v>470</v>
      </c>
      <c r="I190">
        <v>4.2</v>
      </c>
      <c r="J190">
        <v>0</v>
      </c>
      <c r="K190" t="str">
        <f>IF(customer[[#This Row],[IsChurned]]=1,"Churned","Active")</f>
        <v>Active</v>
      </c>
      <c r="L190" t="str">
        <f>TEXT(customer[[#This Row],[SubscriptionDate]],"mmm-yyyy")</f>
        <v>May-2022</v>
      </c>
      <c r="M190" s="1">
        <f ca="1">TODAY()-customer[[#This Row],[LastLoginDate]]</f>
        <v>1206</v>
      </c>
    </row>
    <row r="191" spans="1:13" x14ac:dyDescent="0.3">
      <c r="A191">
        <v>190</v>
      </c>
      <c r="B191" t="s">
        <v>204</v>
      </c>
      <c r="C191">
        <v>18</v>
      </c>
      <c r="D191" t="s">
        <v>11</v>
      </c>
      <c r="E191" t="s">
        <v>15</v>
      </c>
      <c r="F191" s="1">
        <v>44736</v>
      </c>
      <c r="G191" s="1">
        <v>45093</v>
      </c>
      <c r="H191">
        <v>477</v>
      </c>
      <c r="I191">
        <v>4</v>
      </c>
      <c r="J191">
        <v>1</v>
      </c>
      <c r="K191" t="str">
        <f>IF(customer[[#This Row],[IsChurned]]=1,"Churned","Active")</f>
        <v>Churned</v>
      </c>
      <c r="L191" t="str">
        <f>TEXT(customer[[#This Row],[SubscriptionDate]],"mmm-yyyy")</f>
        <v>Jun-2022</v>
      </c>
      <c r="M191" s="1">
        <f ca="1">TODAY()-customer[[#This Row],[LastLoginDate]]</f>
        <v>950</v>
      </c>
    </row>
    <row r="192" spans="1:13" x14ac:dyDescent="0.3">
      <c r="A192">
        <v>191</v>
      </c>
      <c r="B192" t="s">
        <v>205</v>
      </c>
      <c r="C192">
        <v>59</v>
      </c>
      <c r="D192" t="s">
        <v>14</v>
      </c>
      <c r="E192" t="s">
        <v>18</v>
      </c>
      <c r="F192" s="1">
        <v>45330</v>
      </c>
      <c r="G192" s="1">
        <v>45528</v>
      </c>
      <c r="H192">
        <v>418</v>
      </c>
      <c r="I192">
        <v>3.9</v>
      </c>
      <c r="J192">
        <v>1</v>
      </c>
      <c r="K192" t="str">
        <f>IF(customer[[#This Row],[IsChurned]]=1,"Churned","Active")</f>
        <v>Churned</v>
      </c>
      <c r="L192" t="str">
        <f>TEXT(customer[[#This Row],[SubscriptionDate]],"mmm-yyyy")</f>
        <v>Feb-2024</v>
      </c>
      <c r="M192" s="1">
        <f ca="1">TODAY()-customer[[#This Row],[LastLoginDate]]</f>
        <v>515</v>
      </c>
    </row>
    <row r="193" spans="1:13" x14ac:dyDescent="0.3">
      <c r="A193">
        <v>192</v>
      </c>
      <c r="B193" t="s">
        <v>206</v>
      </c>
      <c r="C193">
        <v>44</v>
      </c>
      <c r="D193" t="s">
        <v>11</v>
      </c>
      <c r="E193" t="s">
        <v>15</v>
      </c>
      <c r="F193" s="1">
        <v>45425</v>
      </c>
      <c r="G193" s="1">
        <v>45701</v>
      </c>
      <c r="H193">
        <v>338</v>
      </c>
      <c r="I193">
        <v>3.1</v>
      </c>
      <c r="J193">
        <v>0</v>
      </c>
      <c r="K193" t="str">
        <f>IF(customer[[#This Row],[IsChurned]]=1,"Churned","Active")</f>
        <v>Active</v>
      </c>
      <c r="L193" t="str">
        <f>TEXT(customer[[#This Row],[SubscriptionDate]],"mmm-yyyy")</f>
        <v>May-2024</v>
      </c>
      <c r="M193" s="1">
        <f ca="1">TODAY()-customer[[#This Row],[LastLoginDate]]</f>
        <v>342</v>
      </c>
    </row>
    <row r="194" spans="1:13" x14ac:dyDescent="0.3">
      <c r="A194">
        <v>193</v>
      </c>
      <c r="B194" t="s">
        <v>207</v>
      </c>
      <c r="C194">
        <v>41</v>
      </c>
      <c r="D194" t="s">
        <v>14</v>
      </c>
      <c r="E194" t="s">
        <v>15</v>
      </c>
      <c r="F194" s="1">
        <v>44724</v>
      </c>
      <c r="G194" s="1">
        <v>44917</v>
      </c>
      <c r="H194">
        <v>225</v>
      </c>
      <c r="I194">
        <v>4.5999999999999996</v>
      </c>
      <c r="J194">
        <v>0</v>
      </c>
      <c r="K194" t="str">
        <f>IF(customer[[#This Row],[IsChurned]]=1,"Churned","Active")</f>
        <v>Active</v>
      </c>
      <c r="L194" t="str">
        <f>TEXT(customer[[#This Row],[SubscriptionDate]],"mmm-yyyy")</f>
        <v>Jun-2022</v>
      </c>
      <c r="M194" s="1">
        <f ca="1">TODAY()-customer[[#This Row],[LastLoginDate]]</f>
        <v>1126</v>
      </c>
    </row>
    <row r="195" spans="1:13" x14ac:dyDescent="0.3">
      <c r="A195">
        <v>194</v>
      </c>
      <c r="B195" t="s">
        <v>208</v>
      </c>
      <c r="C195">
        <v>47</v>
      </c>
      <c r="D195" t="s">
        <v>11</v>
      </c>
      <c r="E195" t="s">
        <v>12</v>
      </c>
      <c r="F195" s="1">
        <v>45263</v>
      </c>
      <c r="G195" s="1">
        <v>45607</v>
      </c>
      <c r="H195">
        <v>344</v>
      </c>
      <c r="I195">
        <v>3.3</v>
      </c>
      <c r="J195">
        <v>0</v>
      </c>
      <c r="K195" t="str">
        <f>IF(customer[[#This Row],[IsChurned]]=1,"Churned","Active")</f>
        <v>Active</v>
      </c>
      <c r="L195" t="str">
        <f>TEXT(customer[[#This Row],[SubscriptionDate]],"mmm-yyyy")</f>
        <v>Dec-2023</v>
      </c>
      <c r="M195" s="1">
        <f ca="1">TODAY()-customer[[#This Row],[LastLoginDate]]</f>
        <v>436</v>
      </c>
    </row>
    <row r="196" spans="1:13" x14ac:dyDescent="0.3">
      <c r="A196">
        <v>195</v>
      </c>
      <c r="B196" t="s">
        <v>209</v>
      </c>
      <c r="C196">
        <v>38</v>
      </c>
      <c r="D196" t="s">
        <v>11</v>
      </c>
      <c r="E196" t="s">
        <v>18</v>
      </c>
      <c r="F196" s="1">
        <v>45073</v>
      </c>
      <c r="G196" s="1">
        <v>45344</v>
      </c>
      <c r="H196">
        <v>391</v>
      </c>
      <c r="I196">
        <v>2.6</v>
      </c>
      <c r="J196">
        <v>1</v>
      </c>
      <c r="K196" t="str">
        <f>IF(customer[[#This Row],[IsChurned]]=1,"Churned","Active")</f>
        <v>Churned</v>
      </c>
      <c r="L196" t="str">
        <f>TEXT(customer[[#This Row],[SubscriptionDate]],"mmm-yyyy")</f>
        <v>May-2023</v>
      </c>
      <c r="M196" s="1">
        <f ca="1">TODAY()-customer[[#This Row],[LastLoginDate]]</f>
        <v>699</v>
      </c>
    </row>
    <row r="197" spans="1:13" x14ac:dyDescent="0.3">
      <c r="A197">
        <v>196</v>
      </c>
      <c r="B197" t="s">
        <v>210</v>
      </c>
      <c r="C197">
        <v>50</v>
      </c>
      <c r="D197" t="s">
        <v>14</v>
      </c>
      <c r="E197" t="s">
        <v>12</v>
      </c>
      <c r="F197" s="1">
        <v>44800</v>
      </c>
      <c r="G197" s="1">
        <v>45071</v>
      </c>
      <c r="H197">
        <v>472</v>
      </c>
      <c r="I197">
        <v>4.5999999999999996</v>
      </c>
      <c r="J197">
        <v>0</v>
      </c>
      <c r="K197" t="str">
        <f>IF(customer[[#This Row],[IsChurned]]=1,"Churned","Active")</f>
        <v>Active</v>
      </c>
      <c r="L197" t="str">
        <f>TEXT(customer[[#This Row],[SubscriptionDate]],"mmm-yyyy")</f>
        <v>Aug-2022</v>
      </c>
      <c r="M197" s="1">
        <f ca="1">TODAY()-customer[[#This Row],[LastLoginDate]]</f>
        <v>972</v>
      </c>
    </row>
    <row r="198" spans="1:13" x14ac:dyDescent="0.3">
      <c r="A198">
        <v>197</v>
      </c>
      <c r="B198" t="s">
        <v>211</v>
      </c>
      <c r="C198">
        <v>37</v>
      </c>
      <c r="D198" t="s">
        <v>11</v>
      </c>
      <c r="E198" t="s">
        <v>12</v>
      </c>
      <c r="F198" s="1">
        <v>45386</v>
      </c>
      <c r="G198" s="1">
        <v>45683</v>
      </c>
      <c r="H198">
        <v>171</v>
      </c>
      <c r="I198">
        <v>2.2999999999999998</v>
      </c>
      <c r="J198">
        <v>0</v>
      </c>
      <c r="K198" t="str">
        <f>IF(customer[[#This Row],[IsChurned]]=1,"Churned","Active")</f>
        <v>Active</v>
      </c>
      <c r="L198" t="str">
        <f>TEXT(customer[[#This Row],[SubscriptionDate]],"mmm-yyyy")</f>
        <v>Apr-2024</v>
      </c>
      <c r="M198" s="1">
        <f ca="1">TODAY()-customer[[#This Row],[LastLoginDate]]</f>
        <v>360</v>
      </c>
    </row>
    <row r="199" spans="1:13" x14ac:dyDescent="0.3">
      <c r="A199">
        <v>198</v>
      </c>
      <c r="B199" t="s">
        <v>212</v>
      </c>
      <c r="C199">
        <v>47</v>
      </c>
      <c r="D199" t="s">
        <v>14</v>
      </c>
      <c r="E199" t="s">
        <v>18</v>
      </c>
      <c r="F199" s="1">
        <v>45193</v>
      </c>
      <c r="G199" s="1">
        <v>45503</v>
      </c>
      <c r="H199">
        <v>469</v>
      </c>
      <c r="I199">
        <v>4.4000000000000004</v>
      </c>
      <c r="J199">
        <v>1</v>
      </c>
      <c r="K199" t="str">
        <f>IF(customer[[#This Row],[IsChurned]]=1,"Churned","Active")</f>
        <v>Churned</v>
      </c>
      <c r="L199" t="str">
        <f>TEXT(customer[[#This Row],[SubscriptionDate]],"mmm-yyyy")</f>
        <v>Sep-2023</v>
      </c>
      <c r="M199" s="1">
        <f ca="1">TODAY()-customer[[#This Row],[LastLoginDate]]</f>
        <v>540</v>
      </c>
    </row>
    <row r="200" spans="1:13" x14ac:dyDescent="0.3">
      <c r="A200">
        <v>199</v>
      </c>
      <c r="B200" t="s">
        <v>213</v>
      </c>
      <c r="C200">
        <v>30</v>
      </c>
      <c r="D200" t="s">
        <v>11</v>
      </c>
      <c r="E200" t="s">
        <v>12</v>
      </c>
      <c r="F200" s="1">
        <v>44757</v>
      </c>
      <c r="G200" s="1">
        <v>44815</v>
      </c>
      <c r="H200">
        <v>467</v>
      </c>
      <c r="I200">
        <v>2.5</v>
      </c>
      <c r="J200">
        <v>1</v>
      </c>
      <c r="K200" t="str">
        <f>IF(customer[[#This Row],[IsChurned]]=1,"Churned","Active")</f>
        <v>Churned</v>
      </c>
      <c r="L200" t="str">
        <f>TEXT(customer[[#This Row],[SubscriptionDate]],"mmm-yyyy")</f>
        <v>Jul-2022</v>
      </c>
      <c r="M200" s="1">
        <f ca="1">TODAY()-customer[[#This Row],[LastLoginDate]]</f>
        <v>1228</v>
      </c>
    </row>
    <row r="201" spans="1:13" x14ac:dyDescent="0.3">
      <c r="A201">
        <v>200</v>
      </c>
      <c r="B201" t="s">
        <v>214</v>
      </c>
      <c r="C201">
        <v>24</v>
      </c>
      <c r="D201" t="s">
        <v>14</v>
      </c>
      <c r="E201" t="s">
        <v>18</v>
      </c>
      <c r="F201" s="1">
        <v>44595</v>
      </c>
      <c r="G201" s="1">
        <v>44881</v>
      </c>
      <c r="H201">
        <v>48</v>
      </c>
      <c r="I201">
        <v>1.3</v>
      </c>
      <c r="J201">
        <v>0</v>
      </c>
      <c r="K201" t="str">
        <f>IF(customer[[#This Row],[IsChurned]]=1,"Churned","Active")</f>
        <v>Active</v>
      </c>
      <c r="L201" t="str">
        <f>TEXT(customer[[#This Row],[SubscriptionDate]],"mmm-yyyy")</f>
        <v>Feb-2022</v>
      </c>
      <c r="M201" s="1">
        <f ca="1">TODAY()-customer[[#This Row],[LastLoginDate]]</f>
        <v>1162</v>
      </c>
    </row>
    <row r="202" spans="1:13" x14ac:dyDescent="0.3">
      <c r="A202">
        <v>201</v>
      </c>
      <c r="B202" t="s">
        <v>215</v>
      </c>
      <c r="C202">
        <v>40</v>
      </c>
      <c r="D202" t="s">
        <v>14</v>
      </c>
      <c r="E202" t="s">
        <v>15</v>
      </c>
      <c r="F202" s="1">
        <v>45214</v>
      </c>
      <c r="G202" s="1">
        <v>45357</v>
      </c>
      <c r="H202">
        <v>21</v>
      </c>
      <c r="I202">
        <v>4.9000000000000004</v>
      </c>
      <c r="J202">
        <v>0</v>
      </c>
      <c r="K202" t="str">
        <f>IF(customer[[#This Row],[IsChurned]]=1,"Churned","Active")</f>
        <v>Active</v>
      </c>
      <c r="L202" t="str">
        <f>TEXT(customer[[#This Row],[SubscriptionDate]],"mmm-yyyy")</f>
        <v>Oct-2023</v>
      </c>
      <c r="M202" s="1">
        <f ca="1">TODAY()-customer[[#This Row],[LastLoginDate]]</f>
        <v>686</v>
      </c>
    </row>
    <row r="203" spans="1:13" x14ac:dyDescent="0.3">
      <c r="A203">
        <v>202</v>
      </c>
      <c r="B203" t="s">
        <v>216</v>
      </c>
      <c r="C203">
        <v>42</v>
      </c>
      <c r="D203" t="s">
        <v>11</v>
      </c>
      <c r="E203" t="s">
        <v>15</v>
      </c>
      <c r="F203" s="1">
        <v>44744</v>
      </c>
      <c r="G203" s="1">
        <v>44922</v>
      </c>
      <c r="H203">
        <v>85</v>
      </c>
      <c r="I203">
        <v>2.7</v>
      </c>
      <c r="J203">
        <v>0</v>
      </c>
      <c r="K203" t="str">
        <f>IF(customer[[#This Row],[IsChurned]]=1,"Churned","Active")</f>
        <v>Active</v>
      </c>
      <c r="L203" t="str">
        <f>TEXT(customer[[#This Row],[SubscriptionDate]],"mmm-yyyy")</f>
        <v>Jul-2022</v>
      </c>
      <c r="M203" s="1">
        <f ca="1">TODAY()-customer[[#This Row],[LastLoginDate]]</f>
        <v>1121</v>
      </c>
    </row>
    <row r="204" spans="1:13" x14ac:dyDescent="0.3">
      <c r="A204">
        <v>203</v>
      </c>
      <c r="B204" t="s">
        <v>217</v>
      </c>
      <c r="C204">
        <v>32</v>
      </c>
      <c r="D204" t="s">
        <v>11</v>
      </c>
      <c r="E204" t="s">
        <v>15</v>
      </c>
      <c r="F204" s="1">
        <v>44747</v>
      </c>
      <c r="G204" s="1">
        <v>44991</v>
      </c>
      <c r="H204">
        <v>27</v>
      </c>
      <c r="I204">
        <v>4.7</v>
      </c>
      <c r="J204">
        <v>1</v>
      </c>
      <c r="K204" t="str">
        <f>IF(customer[[#This Row],[IsChurned]]=1,"Churned","Active")</f>
        <v>Churned</v>
      </c>
      <c r="L204" t="str">
        <f>TEXT(customer[[#This Row],[SubscriptionDate]],"mmm-yyyy")</f>
        <v>Jul-2022</v>
      </c>
      <c r="M204" s="1">
        <f ca="1">TODAY()-customer[[#This Row],[LastLoginDate]]</f>
        <v>1052</v>
      </c>
    </row>
    <row r="205" spans="1:13" x14ac:dyDescent="0.3">
      <c r="A205">
        <v>204</v>
      </c>
      <c r="B205" t="s">
        <v>218</v>
      </c>
      <c r="C205">
        <v>52</v>
      </c>
      <c r="D205" t="s">
        <v>11</v>
      </c>
      <c r="E205" t="s">
        <v>15</v>
      </c>
      <c r="F205" s="1">
        <v>45144</v>
      </c>
      <c r="G205" s="1">
        <v>45238</v>
      </c>
      <c r="H205">
        <v>443</v>
      </c>
      <c r="I205">
        <v>4.8</v>
      </c>
      <c r="J205">
        <v>0</v>
      </c>
      <c r="K205" t="str">
        <f>IF(customer[[#This Row],[IsChurned]]=1,"Churned","Active")</f>
        <v>Active</v>
      </c>
      <c r="L205" t="str">
        <f>TEXT(customer[[#This Row],[SubscriptionDate]],"mmm-yyyy")</f>
        <v>Aug-2023</v>
      </c>
      <c r="M205" s="1">
        <f ca="1">TODAY()-customer[[#This Row],[LastLoginDate]]</f>
        <v>805</v>
      </c>
    </row>
    <row r="206" spans="1:13" x14ac:dyDescent="0.3">
      <c r="A206">
        <v>205</v>
      </c>
      <c r="B206" t="s">
        <v>219</v>
      </c>
      <c r="C206">
        <v>27</v>
      </c>
      <c r="D206" t="s">
        <v>11</v>
      </c>
      <c r="E206" t="s">
        <v>18</v>
      </c>
      <c r="F206" s="1">
        <v>45177</v>
      </c>
      <c r="G206" s="1">
        <v>45404</v>
      </c>
      <c r="H206">
        <v>110</v>
      </c>
      <c r="I206">
        <v>4.3</v>
      </c>
      <c r="J206">
        <v>0</v>
      </c>
      <c r="K206" t="str">
        <f>IF(customer[[#This Row],[IsChurned]]=1,"Churned","Active")</f>
        <v>Active</v>
      </c>
      <c r="L206" t="str">
        <f>TEXT(customer[[#This Row],[SubscriptionDate]],"mmm-yyyy")</f>
        <v>Sep-2023</v>
      </c>
      <c r="M206" s="1">
        <f ca="1">TODAY()-customer[[#This Row],[LastLoginDate]]</f>
        <v>639</v>
      </c>
    </row>
    <row r="207" spans="1:13" x14ac:dyDescent="0.3">
      <c r="A207">
        <v>206</v>
      </c>
      <c r="B207" t="s">
        <v>220</v>
      </c>
      <c r="C207">
        <v>65</v>
      </c>
      <c r="D207" t="s">
        <v>14</v>
      </c>
      <c r="E207" t="s">
        <v>12</v>
      </c>
      <c r="F207" s="1">
        <v>45434</v>
      </c>
      <c r="G207" s="1">
        <v>45477</v>
      </c>
      <c r="H207">
        <v>371</v>
      </c>
      <c r="I207">
        <v>4.5999999999999996</v>
      </c>
      <c r="J207">
        <v>0</v>
      </c>
      <c r="K207" t="str">
        <f>IF(customer[[#This Row],[IsChurned]]=1,"Churned","Active")</f>
        <v>Active</v>
      </c>
      <c r="L207" t="str">
        <f>TEXT(customer[[#This Row],[SubscriptionDate]],"mmm-yyyy")</f>
        <v>May-2024</v>
      </c>
      <c r="M207" s="1">
        <f ca="1">TODAY()-customer[[#This Row],[LastLoginDate]]</f>
        <v>566</v>
      </c>
    </row>
    <row r="208" spans="1:13" x14ac:dyDescent="0.3">
      <c r="A208">
        <v>207</v>
      </c>
      <c r="B208" t="s">
        <v>221</v>
      </c>
      <c r="C208">
        <v>35</v>
      </c>
      <c r="D208" t="s">
        <v>14</v>
      </c>
      <c r="E208" t="s">
        <v>15</v>
      </c>
      <c r="F208" s="1">
        <v>45182</v>
      </c>
      <c r="G208" s="1">
        <v>45292</v>
      </c>
      <c r="H208">
        <v>411</v>
      </c>
      <c r="I208">
        <v>1.7</v>
      </c>
      <c r="J208">
        <v>0</v>
      </c>
      <c r="K208" t="str">
        <f>IF(customer[[#This Row],[IsChurned]]=1,"Churned","Active")</f>
        <v>Active</v>
      </c>
      <c r="L208" t="str">
        <f>TEXT(customer[[#This Row],[SubscriptionDate]],"mmm-yyyy")</f>
        <v>Sep-2023</v>
      </c>
      <c r="M208" s="1">
        <f ca="1">TODAY()-customer[[#This Row],[LastLoginDate]]</f>
        <v>751</v>
      </c>
    </row>
    <row r="209" spans="1:13" x14ac:dyDescent="0.3">
      <c r="A209">
        <v>208</v>
      </c>
      <c r="B209" t="s">
        <v>222</v>
      </c>
      <c r="C209">
        <v>51</v>
      </c>
      <c r="D209" t="s">
        <v>14</v>
      </c>
      <c r="E209" t="s">
        <v>15</v>
      </c>
      <c r="F209" s="1">
        <v>44793</v>
      </c>
      <c r="G209" s="1">
        <v>44960</v>
      </c>
      <c r="H209">
        <v>142</v>
      </c>
      <c r="I209">
        <v>3.7</v>
      </c>
      <c r="J209">
        <v>0</v>
      </c>
      <c r="K209" t="str">
        <f>IF(customer[[#This Row],[IsChurned]]=1,"Churned","Active")</f>
        <v>Active</v>
      </c>
      <c r="L209" t="str">
        <f>TEXT(customer[[#This Row],[SubscriptionDate]],"mmm-yyyy")</f>
        <v>Aug-2022</v>
      </c>
      <c r="M209" s="1">
        <f ca="1">TODAY()-customer[[#This Row],[LastLoginDate]]</f>
        <v>1083</v>
      </c>
    </row>
    <row r="210" spans="1:13" x14ac:dyDescent="0.3">
      <c r="A210">
        <v>209</v>
      </c>
      <c r="B210" t="s">
        <v>223</v>
      </c>
      <c r="C210">
        <v>20</v>
      </c>
      <c r="D210" t="s">
        <v>11</v>
      </c>
      <c r="E210" t="s">
        <v>15</v>
      </c>
      <c r="F210" s="1">
        <v>44575</v>
      </c>
      <c r="G210" s="1">
        <v>44841</v>
      </c>
      <c r="H210">
        <v>123</v>
      </c>
      <c r="I210">
        <v>2.7</v>
      </c>
      <c r="J210">
        <v>0</v>
      </c>
      <c r="K210" t="str">
        <f>IF(customer[[#This Row],[IsChurned]]=1,"Churned","Active")</f>
        <v>Active</v>
      </c>
      <c r="L210" t="str">
        <f>TEXT(customer[[#This Row],[SubscriptionDate]],"mmm-yyyy")</f>
        <v>Jan-2022</v>
      </c>
      <c r="M210" s="1">
        <f ca="1">TODAY()-customer[[#This Row],[LastLoginDate]]</f>
        <v>1202</v>
      </c>
    </row>
    <row r="211" spans="1:13" x14ac:dyDescent="0.3">
      <c r="A211">
        <v>210</v>
      </c>
      <c r="B211" t="s">
        <v>224</v>
      </c>
      <c r="C211">
        <v>61</v>
      </c>
      <c r="D211" t="s">
        <v>14</v>
      </c>
      <c r="E211" t="s">
        <v>18</v>
      </c>
      <c r="F211" s="1">
        <v>45133</v>
      </c>
      <c r="G211" s="1">
        <v>45368</v>
      </c>
      <c r="H211">
        <v>470</v>
      </c>
      <c r="I211">
        <v>3.8</v>
      </c>
      <c r="J211">
        <v>0</v>
      </c>
      <c r="K211" t="str">
        <f>IF(customer[[#This Row],[IsChurned]]=1,"Churned","Active")</f>
        <v>Active</v>
      </c>
      <c r="L211" t="str">
        <f>TEXT(customer[[#This Row],[SubscriptionDate]],"mmm-yyyy")</f>
        <v>Jul-2023</v>
      </c>
      <c r="M211" s="1">
        <f ca="1">TODAY()-customer[[#This Row],[LastLoginDate]]</f>
        <v>675</v>
      </c>
    </row>
    <row r="212" spans="1:13" x14ac:dyDescent="0.3">
      <c r="A212">
        <v>211</v>
      </c>
      <c r="B212" t="s">
        <v>225</v>
      </c>
      <c r="C212">
        <v>25</v>
      </c>
      <c r="D212" t="s">
        <v>14</v>
      </c>
      <c r="E212" t="s">
        <v>18</v>
      </c>
      <c r="F212" s="1">
        <v>45414</v>
      </c>
      <c r="G212" s="1">
        <v>45452</v>
      </c>
      <c r="H212">
        <v>247</v>
      </c>
      <c r="I212">
        <v>3.6</v>
      </c>
      <c r="J212">
        <v>0</v>
      </c>
      <c r="K212" t="str">
        <f>IF(customer[[#This Row],[IsChurned]]=1,"Churned","Active")</f>
        <v>Active</v>
      </c>
      <c r="L212" t="str">
        <f>TEXT(customer[[#This Row],[SubscriptionDate]],"mmm-yyyy")</f>
        <v>May-2024</v>
      </c>
      <c r="M212" s="1">
        <f ca="1">TODAY()-customer[[#This Row],[LastLoginDate]]</f>
        <v>591</v>
      </c>
    </row>
    <row r="213" spans="1:13" x14ac:dyDescent="0.3">
      <c r="A213">
        <v>212</v>
      </c>
      <c r="B213" t="s">
        <v>226</v>
      </c>
      <c r="C213">
        <v>19</v>
      </c>
      <c r="D213" t="s">
        <v>14</v>
      </c>
      <c r="E213" t="s">
        <v>18</v>
      </c>
      <c r="F213" s="1">
        <v>45443</v>
      </c>
      <c r="G213" s="1">
        <v>45545</v>
      </c>
      <c r="H213">
        <v>306</v>
      </c>
      <c r="I213">
        <v>4.9000000000000004</v>
      </c>
      <c r="J213">
        <v>1</v>
      </c>
      <c r="K213" t="str">
        <f>IF(customer[[#This Row],[IsChurned]]=1,"Churned","Active")</f>
        <v>Churned</v>
      </c>
      <c r="L213" t="str">
        <f>TEXT(customer[[#This Row],[SubscriptionDate]],"mmm-yyyy")</f>
        <v>May-2024</v>
      </c>
      <c r="M213" s="1">
        <f ca="1">TODAY()-customer[[#This Row],[LastLoginDate]]</f>
        <v>498</v>
      </c>
    </row>
    <row r="214" spans="1:13" x14ac:dyDescent="0.3">
      <c r="A214">
        <v>213</v>
      </c>
      <c r="B214" t="s">
        <v>227</v>
      </c>
      <c r="C214">
        <v>62</v>
      </c>
      <c r="D214" t="s">
        <v>14</v>
      </c>
      <c r="E214" t="s">
        <v>15</v>
      </c>
      <c r="F214" s="1">
        <v>44778</v>
      </c>
      <c r="G214" s="1">
        <v>45071</v>
      </c>
      <c r="H214">
        <v>60</v>
      </c>
      <c r="I214">
        <v>4.4000000000000004</v>
      </c>
      <c r="J214">
        <v>0</v>
      </c>
      <c r="K214" t="str">
        <f>IF(customer[[#This Row],[IsChurned]]=1,"Churned","Active")</f>
        <v>Active</v>
      </c>
      <c r="L214" t="str">
        <f>TEXT(customer[[#This Row],[SubscriptionDate]],"mmm-yyyy")</f>
        <v>Aug-2022</v>
      </c>
      <c r="M214" s="1">
        <f ca="1">TODAY()-customer[[#This Row],[LastLoginDate]]</f>
        <v>972</v>
      </c>
    </row>
    <row r="215" spans="1:13" x14ac:dyDescent="0.3">
      <c r="A215">
        <v>214</v>
      </c>
      <c r="B215" t="s">
        <v>228</v>
      </c>
      <c r="C215">
        <v>35</v>
      </c>
      <c r="D215" t="s">
        <v>14</v>
      </c>
      <c r="E215" t="s">
        <v>12</v>
      </c>
      <c r="F215" s="1">
        <v>44927</v>
      </c>
      <c r="G215" s="1">
        <v>45208</v>
      </c>
      <c r="H215">
        <v>353</v>
      </c>
      <c r="I215">
        <v>2.8</v>
      </c>
      <c r="J215">
        <v>1</v>
      </c>
      <c r="K215" t="str">
        <f>IF(customer[[#This Row],[IsChurned]]=1,"Churned","Active")</f>
        <v>Churned</v>
      </c>
      <c r="L215" t="str">
        <f>TEXT(customer[[#This Row],[SubscriptionDate]],"mmm-yyyy")</f>
        <v>Jan-2023</v>
      </c>
      <c r="M215" s="1">
        <f ca="1">TODAY()-customer[[#This Row],[LastLoginDate]]</f>
        <v>835</v>
      </c>
    </row>
    <row r="216" spans="1:13" x14ac:dyDescent="0.3">
      <c r="A216">
        <v>215</v>
      </c>
      <c r="B216" t="s">
        <v>229</v>
      </c>
      <c r="C216">
        <v>32</v>
      </c>
      <c r="D216" t="s">
        <v>11</v>
      </c>
      <c r="E216" t="s">
        <v>12</v>
      </c>
      <c r="F216" s="1">
        <v>44732</v>
      </c>
      <c r="G216" s="1">
        <v>44813</v>
      </c>
      <c r="H216">
        <v>37</v>
      </c>
      <c r="I216">
        <v>4.3</v>
      </c>
      <c r="J216">
        <v>0</v>
      </c>
      <c r="K216" t="str">
        <f>IF(customer[[#This Row],[IsChurned]]=1,"Churned","Active")</f>
        <v>Active</v>
      </c>
      <c r="L216" t="str">
        <f>TEXT(customer[[#This Row],[SubscriptionDate]],"mmm-yyyy")</f>
        <v>Jun-2022</v>
      </c>
      <c r="M216" s="1">
        <f ca="1">TODAY()-customer[[#This Row],[LastLoginDate]]</f>
        <v>1230</v>
      </c>
    </row>
    <row r="217" spans="1:13" x14ac:dyDescent="0.3">
      <c r="A217">
        <v>216</v>
      </c>
      <c r="B217" t="s">
        <v>230</v>
      </c>
      <c r="C217">
        <v>47</v>
      </c>
      <c r="D217" t="s">
        <v>14</v>
      </c>
      <c r="E217" t="s">
        <v>15</v>
      </c>
      <c r="F217" s="1">
        <v>44939</v>
      </c>
      <c r="G217" s="1">
        <v>44996</v>
      </c>
      <c r="H217">
        <v>492</v>
      </c>
      <c r="I217">
        <v>3.2</v>
      </c>
      <c r="J217">
        <v>1</v>
      </c>
      <c r="K217" t="str">
        <f>IF(customer[[#This Row],[IsChurned]]=1,"Churned","Active")</f>
        <v>Churned</v>
      </c>
      <c r="L217" t="str">
        <f>TEXT(customer[[#This Row],[SubscriptionDate]],"mmm-yyyy")</f>
        <v>Jan-2023</v>
      </c>
      <c r="M217" s="1">
        <f ca="1">TODAY()-customer[[#This Row],[LastLoginDate]]</f>
        <v>1047</v>
      </c>
    </row>
    <row r="218" spans="1:13" x14ac:dyDescent="0.3">
      <c r="A218">
        <v>217</v>
      </c>
      <c r="B218" t="s">
        <v>231</v>
      </c>
      <c r="C218">
        <v>36</v>
      </c>
      <c r="D218" t="s">
        <v>11</v>
      </c>
      <c r="E218" t="s">
        <v>12</v>
      </c>
      <c r="F218" s="1">
        <v>44914</v>
      </c>
      <c r="G218" s="1">
        <v>45153</v>
      </c>
      <c r="H218">
        <v>128</v>
      </c>
      <c r="I218">
        <v>2.2999999999999998</v>
      </c>
      <c r="J218">
        <v>0</v>
      </c>
      <c r="K218" t="str">
        <f>IF(customer[[#This Row],[IsChurned]]=1,"Churned","Active")</f>
        <v>Active</v>
      </c>
      <c r="L218" t="str">
        <f>TEXT(customer[[#This Row],[SubscriptionDate]],"mmm-yyyy")</f>
        <v>Dec-2022</v>
      </c>
      <c r="M218" s="1">
        <f ca="1">TODAY()-customer[[#This Row],[LastLoginDate]]</f>
        <v>890</v>
      </c>
    </row>
    <row r="219" spans="1:13" x14ac:dyDescent="0.3">
      <c r="A219">
        <v>218</v>
      </c>
      <c r="B219" t="s">
        <v>232</v>
      </c>
      <c r="C219">
        <v>32</v>
      </c>
      <c r="D219" t="s">
        <v>11</v>
      </c>
      <c r="E219" t="s">
        <v>18</v>
      </c>
      <c r="F219" s="1">
        <v>45387</v>
      </c>
      <c r="G219" s="1">
        <v>45686</v>
      </c>
      <c r="H219">
        <v>197</v>
      </c>
      <c r="I219">
        <v>1.5</v>
      </c>
      <c r="J219">
        <v>1</v>
      </c>
      <c r="K219" t="str">
        <f>IF(customer[[#This Row],[IsChurned]]=1,"Churned","Active")</f>
        <v>Churned</v>
      </c>
      <c r="L219" t="str">
        <f>TEXT(customer[[#This Row],[SubscriptionDate]],"mmm-yyyy")</f>
        <v>Apr-2024</v>
      </c>
      <c r="M219" s="1">
        <f ca="1">TODAY()-customer[[#This Row],[LastLoginDate]]</f>
        <v>357</v>
      </c>
    </row>
    <row r="220" spans="1:13" x14ac:dyDescent="0.3">
      <c r="A220">
        <v>219</v>
      </c>
      <c r="B220" t="s">
        <v>233</v>
      </c>
      <c r="C220">
        <v>63</v>
      </c>
      <c r="D220" t="s">
        <v>11</v>
      </c>
      <c r="E220" t="s">
        <v>18</v>
      </c>
      <c r="F220" s="1">
        <v>45020</v>
      </c>
      <c r="G220" s="1">
        <v>45154</v>
      </c>
      <c r="H220">
        <v>267</v>
      </c>
      <c r="I220">
        <v>1.8</v>
      </c>
      <c r="J220">
        <v>1</v>
      </c>
      <c r="K220" t="str">
        <f>IF(customer[[#This Row],[IsChurned]]=1,"Churned","Active")</f>
        <v>Churned</v>
      </c>
      <c r="L220" t="str">
        <f>TEXT(customer[[#This Row],[SubscriptionDate]],"mmm-yyyy")</f>
        <v>Apr-2023</v>
      </c>
      <c r="M220" s="1">
        <f ca="1">TODAY()-customer[[#This Row],[LastLoginDate]]</f>
        <v>889</v>
      </c>
    </row>
    <row r="221" spans="1:13" x14ac:dyDescent="0.3">
      <c r="A221">
        <v>220</v>
      </c>
      <c r="B221" t="s">
        <v>234</v>
      </c>
      <c r="C221">
        <v>64</v>
      </c>
      <c r="D221" t="s">
        <v>14</v>
      </c>
      <c r="E221" t="s">
        <v>12</v>
      </c>
      <c r="F221" s="1">
        <v>44925</v>
      </c>
      <c r="G221" s="1">
        <v>45261</v>
      </c>
      <c r="H221">
        <v>245</v>
      </c>
      <c r="I221">
        <v>1.2</v>
      </c>
      <c r="J221">
        <v>0</v>
      </c>
      <c r="K221" t="str">
        <f>IF(customer[[#This Row],[IsChurned]]=1,"Churned","Active")</f>
        <v>Active</v>
      </c>
      <c r="L221" t="str">
        <f>TEXT(customer[[#This Row],[SubscriptionDate]],"mmm-yyyy")</f>
        <v>Dec-2022</v>
      </c>
      <c r="M221" s="1">
        <f ca="1">TODAY()-customer[[#This Row],[LastLoginDate]]</f>
        <v>782</v>
      </c>
    </row>
    <row r="222" spans="1:13" x14ac:dyDescent="0.3">
      <c r="A222">
        <v>221</v>
      </c>
      <c r="B222" t="s">
        <v>235</v>
      </c>
      <c r="C222">
        <v>61</v>
      </c>
      <c r="D222" t="s">
        <v>14</v>
      </c>
      <c r="E222" t="s">
        <v>12</v>
      </c>
      <c r="F222" s="1">
        <v>44656</v>
      </c>
      <c r="G222" s="1">
        <v>44755</v>
      </c>
      <c r="H222">
        <v>110</v>
      </c>
      <c r="I222">
        <v>4.9000000000000004</v>
      </c>
      <c r="J222">
        <v>0</v>
      </c>
      <c r="K222" t="str">
        <f>IF(customer[[#This Row],[IsChurned]]=1,"Churned","Active")</f>
        <v>Active</v>
      </c>
      <c r="L222" t="str">
        <f>TEXT(customer[[#This Row],[SubscriptionDate]],"mmm-yyyy")</f>
        <v>Apr-2022</v>
      </c>
      <c r="M222" s="1">
        <f ca="1">TODAY()-customer[[#This Row],[LastLoginDate]]</f>
        <v>1288</v>
      </c>
    </row>
    <row r="223" spans="1:13" x14ac:dyDescent="0.3">
      <c r="A223">
        <v>222</v>
      </c>
      <c r="B223" t="s">
        <v>236</v>
      </c>
      <c r="C223">
        <v>59</v>
      </c>
      <c r="D223" t="s">
        <v>11</v>
      </c>
      <c r="E223" t="s">
        <v>18</v>
      </c>
      <c r="F223" s="1">
        <v>44897</v>
      </c>
      <c r="G223" s="1">
        <v>45211</v>
      </c>
      <c r="H223">
        <v>43</v>
      </c>
      <c r="I223">
        <v>4.2</v>
      </c>
      <c r="J223">
        <v>0</v>
      </c>
      <c r="K223" t="str">
        <f>IF(customer[[#This Row],[IsChurned]]=1,"Churned","Active")</f>
        <v>Active</v>
      </c>
      <c r="L223" t="str">
        <f>TEXT(customer[[#This Row],[SubscriptionDate]],"mmm-yyyy")</f>
        <v>Dec-2022</v>
      </c>
      <c r="M223" s="1">
        <f ca="1">TODAY()-customer[[#This Row],[LastLoginDate]]</f>
        <v>832</v>
      </c>
    </row>
    <row r="224" spans="1:13" x14ac:dyDescent="0.3">
      <c r="A224">
        <v>223</v>
      </c>
      <c r="B224" t="s">
        <v>237</v>
      </c>
      <c r="C224">
        <v>24</v>
      </c>
      <c r="D224" t="s">
        <v>14</v>
      </c>
      <c r="E224" t="s">
        <v>15</v>
      </c>
      <c r="F224" s="1">
        <v>45321</v>
      </c>
      <c r="G224" s="1">
        <v>45593</v>
      </c>
      <c r="H224">
        <v>230</v>
      </c>
      <c r="I224">
        <v>2.6</v>
      </c>
      <c r="J224">
        <v>0</v>
      </c>
      <c r="K224" t="str">
        <f>IF(customer[[#This Row],[IsChurned]]=1,"Churned","Active")</f>
        <v>Active</v>
      </c>
      <c r="L224" t="str">
        <f>TEXT(customer[[#This Row],[SubscriptionDate]],"mmm-yyyy")</f>
        <v>Jan-2024</v>
      </c>
      <c r="M224" s="1">
        <f ca="1">TODAY()-customer[[#This Row],[LastLoginDate]]</f>
        <v>450</v>
      </c>
    </row>
    <row r="225" spans="1:13" x14ac:dyDescent="0.3">
      <c r="A225">
        <v>224</v>
      </c>
      <c r="B225" t="s">
        <v>238</v>
      </c>
      <c r="C225">
        <v>48</v>
      </c>
      <c r="D225" t="s">
        <v>14</v>
      </c>
      <c r="E225" t="s">
        <v>18</v>
      </c>
      <c r="F225" s="1">
        <v>45063</v>
      </c>
      <c r="G225" s="1">
        <v>45361</v>
      </c>
      <c r="H225">
        <v>427</v>
      </c>
      <c r="I225">
        <v>1.3</v>
      </c>
      <c r="J225">
        <v>1</v>
      </c>
      <c r="K225" t="str">
        <f>IF(customer[[#This Row],[IsChurned]]=1,"Churned","Active")</f>
        <v>Churned</v>
      </c>
      <c r="L225" t="str">
        <f>TEXT(customer[[#This Row],[SubscriptionDate]],"mmm-yyyy")</f>
        <v>May-2023</v>
      </c>
      <c r="M225" s="1">
        <f ca="1">TODAY()-customer[[#This Row],[LastLoginDate]]</f>
        <v>682</v>
      </c>
    </row>
    <row r="226" spans="1:13" x14ac:dyDescent="0.3">
      <c r="A226">
        <v>225</v>
      </c>
      <c r="B226" t="s">
        <v>239</v>
      </c>
      <c r="C226">
        <v>49</v>
      </c>
      <c r="D226" t="s">
        <v>14</v>
      </c>
      <c r="E226" t="s">
        <v>15</v>
      </c>
      <c r="F226" s="1">
        <v>45203</v>
      </c>
      <c r="G226" s="1">
        <v>45490</v>
      </c>
      <c r="H226">
        <v>468</v>
      </c>
      <c r="I226">
        <v>3.1</v>
      </c>
      <c r="J226">
        <v>0</v>
      </c>
      <c r="K226" t="str">
        <f>IF(customer[[#This Row],[IsChurned]]=1,"Churned","Active")</f>
        <v>Active</v>
      </c>
      <c r="L226" t="str">
        <f>TEXT(customer[[#This Row],[SubscriptionDate]],"mmm-yyyy")</f>
        <v>Oct-2023</v>
      </c>
      <c r="M226" s="1">
        <f ca="1">TODAY()-customer[[#This Row],[LastLoginDate]]</f>
        <v>553</v>
      </c>
    </row>
    <row r="227" spans="1:13" x14ac:dyDescent="0.3">
      <c r="A227">
        <v>226</v>
      </c>
      <c r="B227" t="s">
        <v>240</v>
      </c>
      <c r="C227">
        <v>63</v>
      </c>
      <c r="D227" t="s">
        <v>14</v>
      </c>
      <c r="E227" t="s">
        <v>15</v>
      </c>
      <c r="F227" s="1">
        <v>44857</v>
      </c>
      <c r="G227" s="1">
        <v>45019</v>
      </c>
      <c r="H227">
        <v>463</v>
      </c>
      <c r="I227">
        <v>1.8</v>
      </c>
      <c r="J227">
        <v>0</v>
      </c>
      <c r="K227" t="str">
        <f>IF(customer[[#This Row],[IsChurned]]=1,"Churned","Active")</f>
        <v>Active</v>
      </c>
      <c r="L227" t="str">
        <f>TEXT(customer[[#This Row],[SubscriptionDate]],"mmm-yyyy")</f>
        <v>Oct-2022</v>
      </c>
      <c r="M227" s="1">
        <f ca="1">TODAY()-customer[[#This Row],[LastLoginDate]]</f>
        <v>1024</v>
      </c>
    </row>
    <row r="228" spans="1:13" x14ac:dyDescent="0.3">
      <c r="A228">
        <v>227</v>
      </c>
      <c r="B228" t="s">
        <v>241</v>
      </c>
      <c r="C228">
        <v>65</v>
      </c>
      <c r="D228" t="s">
        <v>14</v>
      </c>
      <c r="E228" t="s">
        <v>15</v>
      </c>
      <c r="F228" s="1">
        <v>45206</v>
      </c>
      <c r="G228" s="1">
        <v>45412</v>
      </c>
      <c r="H228">
        <v>341</v>
      </c>
      <c r="I228">
        <v>3.9</v>
      </c>
      <c r="J228">
        <v>1</v>
      </c>
      <c r="K228" t="str">
        <f>IF(customer[[#This Row],[IsChurned]]=1,"Churned","Active")</f>
        <v>Churned</v>
      </c>
      <c r="L228" t="str">
        <f>TEXT(customer[[#This Row],[SubscriptionDate]],"mmm-yyyy")</f>
        <v>Oct-2023</v>
      </c>
      <c r="M228" s="1">
        <f ca="1">TODAY()-customer[[#This Row],[LastLoginDate]]</f>
        <v>631</v>
      </c>
    </row>
    <row r="229" spans="1:13" x14ac:dyDescent="0.3">
      <c r="A229">
        <v>228</v>
      </c>
      <c r="B229" t="s">
        <v>242</v>
      </c>
      <c r="C229">
        <v>23</v>
      </c>
      <c r="D229" t="s">
        <v>14</v>
      </c>
      <c r="E229" t="s">
        <v>15</v>
      </c>
      <c r="F229" s="1">
        <v>45151</v>
      </c>
      <c r="G229" s="1">
        <v>45406</v>
      </c>
      <c r="H229">
        <v>470</v>
      </c>
      <c r="I229">
        <v>2.2999999999999998</v>
      </c>
      <c r="J229">
        <v>0</v>
      </c>
      <c r="K229" t="str">
        <f>IF(customer[[#This Row],[IsChurned]]=1,"Churned","Active")</f>
        <v>Active</v>
      </c>
      <c r="L229" t="str">
        <f>TEXT(customer[[#This Row],[SubscriptionDate]],"mmm-yyyy")</f>
        <v>Aug-2023</v>
      </c>
      <c r="M229" s="1">
        <f ca="1">TODAY()-customer[[#This Row],[LastLoginDate]]</f>
        <v>637</v>
      </c>
    </row>
    <row r="230" spans="1:13" x14ac:dyDescent="0.3">
      <c r="A230">
        <v>229</v>
      </c>
      <c r="B230" t="s">
        <v>243</v>
      </c>
      <c r="C230">
        <v>42</v>
      </c>
      <c r="D230" t="s">
        <v>14</v>
      </c>
      <c r="E230" t="s">
        <v>18</v>
      </c>
      <c r="F230" s="1">
        <v>44610</v>
      </c>
      <c r="G230" s="1">
        <v>44764</v>
      </c>
      <c r="H230">
        <v>402</v>
      </c>
      <c r="I230">
        <v>1.3</v>
      </c>
      <c r="J230">
        <v>0</v>
      </c>
      <c r="K230" t="str">
        <f>IF(customer[[#This Row],[IsChurned]]=1,"Churned","Active")</f>
        <v>Active</v>
      </c>
      <c r="L230" t="str">
        <f>TEXT(customer[[#This Row],[SubscriptionDate]],"mmm-yyyy")</f>
        <v>Feb-2022</v>
      </c>
      <c r="M230" s="1">
        <f ca="1">TODAY()-customer[[#This Row],[LastLoginDate]]</f>
        <v>1279</v>
      </c>
    </row>
    <row r="231" spans="1:13" x14ac:dyDescent="0.3">
      <c r="A231">
        <v>230</v>
      </c>
      <c r="B231" t="s">
        <v>244</v>
      </c>
      <c r="C231">
        <v>45</v>
      </c>
      <c r="D231" t="s">
        <v>14</v>
      </c>
      <c r="E231" t="s">
        <v>18</v>
      </c>
      <c r="F231" s="1">
        <v>44875</v>
      </c>
      <c r="G231" s="1">
        <v>45130</v>
      </c>
      <c r="H231">
        <v>191</v>
      </c>
      <c r="I231">
        <v>4.0999999999999996</v>
      </c>
      <c r="J231">
        <v>1</v>
      </c>
      <c r="K231" t="str">
        <f>IF(customer[[#This Row],[IsChurned]]=1,"Churned","Active")</f>
        <v>Churned</v>
      </c>
      <c r="L231" t="str">
        <f>TEXT(customer[[#This Row],[SubscriptionDate]],"mmm-yyyy")</f>
        <v>Nov-2022</v>
      </c>
      <c r="M231" s="1">
        <f ca="1">TODAY()-customer[[#This Row],[LastLoginDate]]</f>
        <v>913</v>
      </c>
    </row>
    <row r="232" spans="1:13" x14ac:dyDescent="0.3">
      <c r="A232">
        <v>231</v>
      </c>
      <c r="B232" t="s">
        <v>245</v>
      </c>
      <c r="C232">
        <v>64</v>
      </c>
      <c r="D232" t="s">
        <v>11</v>
      </c>
      <c r="E232" t="s">
        <v>12</v>
      </c>
      <c r="F232" s="1">
        <v>45111</v>
      </c>
      <c r="G232" s="1">
        <v>45328</v>
      </c>
      <c r="H232">
        <v>216</v>
      </c>
      <c r="I232">
        <v>2.5</v>
      </c>
      <c r="J232">
        <v>0</v>
      </c>
      <c r="K232" t="str">
        <f>IF(customer[[#This Row],[IsChurned]]=1,"Churned","Active")</f>
        <v>Active</v>
      </c>
      <c r="L232" t="str">
        <f>TEXT(customer[[#This Row],[SubscriptionDate]],"mmm-yyyy")</f>
        <v>Jul-2023</v>
      </c>
      <c r="M232" s="1">
        <f ca="1">TODAY()-customer[[#This Row],[LastLoginDate]]</f>
        <v>715</v>
      </c>
    </row>
    <row r="233" spans="1:13" x14ac:dyDescent="0.3">
      <c r="A233">
        <v>232</v>
      </c>
      <c r="B233" t="s">
        <v>246</v>
      </c>
      <c r="C233">
        <v>37</v>
      </c>
      <c r="D233" t="s">
        <v>14</v>
      </c>
      <c r="E233" t="s">
        <v>15</v>
      </c>
      <c r="F233" s="1">
        <v>45036</v>
      </c>
      <c r="G233" s="1">
        <v>45396</v>
      </c>
      <c r="H233">
        <v>195</v>
      </c>
      <c r="I233">
        <v>2.6</v>
      </c>
      <c r="J233">
        <v>0</v>
      </c>
      <c r="K233" t="str">
        <f>IF(customer[[#This Row],[IsChurned]]=1,"Churned","Active")</f>
        <v>Active</v>
      </c>
      <c r="L233" t="str">
        <f>TEXT(customer[[#This Row],[SubscriptionDate]],"mmm-yyyy")</f>
        <v>Apr-2023</v>
      </c>
      <c r="M233" s="1">
        <f ca="1">TODAY()-customer[[#This Row],[LastLoginDate]]</f>
        <v>647</v>
      </c>
    </row>
    <row r="234" spans="1:13" x14ac:dyDescent="0.3">
      <c r="A234">
        <v>233</v>
      </c>
      <c r="B234" t="s">
        <v>247</v>
      </c>
      <c r="C234">
        <v>36</v>
      </c>
      <c r="D234" t="s">
        <v>11</v>
      </c>
      <c r="E234" t="s">
        <v>12</v>
      </c>
      <c r="F234" s="1">
        <v>45066</v>
      </c>
      <c r="G234" s="1">
        <v>45428</v>
      </c>
      <c r="H234">
        <v>103</v>
      </c>
      <c r="I234">
        <v>3.6</v>
      </c>
      <c r="J234">
        <v>0</v>
      </c>
      <c r="K234" t="str">
        <f>IF(customer[[#This Row],[IsChurned]]=1,"Churned","Active")</f>
        <v>Active</v>
      </c>
      <c r="L234" t="str">
        <f>TEXT(customer[[#This Row],[SubscriptionDate]],"mmm-yyyy")</f>
        <v>May-2023</v>
      </c>
      <c r="M234" s="1">
        <f ca="1">TODAY()-customer[[#This Row],[LastLoginDate]]</f>
        <v>615</v>
      </c>
    </row>
    <row r="235" spans="1:13" x14ac:dyDescent="0.3">
      <c r="A235">
        <v>234</v>
      </c>
      <c r="B235" t="s">
        <v>248</v>
      </c>
      <c r="C235">
        <v>58</v>
      </c>
      <c r="D235" t="s">
        <v>14</v>
      </c>
      <c r="E235" t="s">
        <v>18</v>
      </c>
      <c r="F235" s="1">
        <v>45182</v>
      </c>
      <c r="G235" s="1">
        <v>45314</v>
      </c>
      <c r="H235">
        <v>384</v>
      </c>
      <c r="I235">
        <v>3.9</v>
      </c>
      <c r="J235">
        <v>1</v>
      </c>
      <c r="K235" t="str">
        <f>IF(customer[[#This Row],[IsChurned]]=1,"Churned","Active")</f>
        <v>Churned</v>
      </c>
      <c r="L235" t="str">
        <f>TEXT(customer[[#This Row],[SubscriptionDate]],"mmm-yyyy")</f>
        <v>Sep-2023</v>
      </c>
      <c r="M235" s="1">
        <f ca="1">TODAY()-customer[[#This Row],[LastLoginDate]]</f>
        <v>729</v>
      </c>
    </row>
    <row r="236" spans="1:13" x14ac:dyDescent="0.3">
      <c r="A236">
        <v>235</v>
      </c>
      <c r="B236" t="s">
        <v>249</v>
      </c>
      <c r="C236">
        <v>29</v>
      </c>
      <c r="D236" t="s">
        <v>11</v>
      </c>
      <c r="E236" t="s">
        <v>12</v>
      </c>
      <c r="F236" s="1">
        <v>45197</v>
      </c>
      <c r="G236" s="1">
        <v>45416</v>
      </c>
      <c r="H236">
        <v>414</v>
      </c>
      <c r="I236">
        <v>4.8</v>
      </c>
      <c r="J236">
        <v>0</v>
      </c>
      <c r="K236" t="str">
        <f>IF(customer[[#This Row],[IsChurned]]=1,"Churned","Active")</f>
        <v>Active</v>
      </c>
      <c r="L236" t="str">
        <f>TEXT(customer[[#This Row],[SubscriptionDate]],"mmm-yyyy")</f>
        <v>Sep-2023</v>
      </c>
      <c r="M236" s="1">
        <f ca="1">TODAY()-customer[[#This Row],[LastLoginDate]]</f>
        <v>627</v>
      </c>
    </row>
    <row r="237" spans="1:13" x14ac:dyDescent="0.3">
      <c r="A237">
        <v>236</v>
      </c>
      <c r="B237" t="s">
        <v>250</v>
      </c>
      <c r="C237">
        <v>37</v>
      </c>
      <c r="D237" t="s">
        <v>14</v>
      </c>
      <c r="E237" t="s">
        <v>12</v>
      </c>
      <c r="F237" s="1">
        <v>44983</v>
      </c>
      <c r="G237" s="1">
        <v>45186</v>
      </c>
      <c r="H237">
        <v>154</v>
      </c>
      <c r="I237">
        <v>1</v>
      </c>
      <c r="J237">
        <v>0</v>
      </c>
      <c r="K237" t="str">
        <f>IF(customer[[#This Row],[IsChurned]]=1,"Churned","Active")</f>
        <v>Active</v>
      </c>
      <c r="L237" t="str">
        <f>TEXT(customer[[#This Row],[SubscriptionDate]],"mmm-yyyy")</f>
        <v>Feb-2023</v>
      </c>
      <c r="M237" s="1">
        <f ca="1">TODAY()-customer[[#This Row],[LastLoginDate]]</f>
        <v>857</v>
      </c>
    </row>
    <row r="238" spans="1:13" x14ac:dyDescent="0.3">
      <c r="A238">
        <v>237</v>
      </c>
      <c r="B238" t="s">
        <v>251</v>
      </c>
      <c r="C238">
        <v>26</v>
      </c>
      <c r="D238" t="s">
        <v>11</v>
      </c>
      <c r="E238" t="s">
        <v>18</v>
      </c>
      <c r="F238" s="1">
        <v>45319</v>
      </c>
      <c r="G238" s="1">
        <v>45573</v>
      </c>
      <c r="H238">
        <v>429</v>
      </c>
      <c r="I238">
        <v>4.5</v>
      </c>
      <c r="J238">
        <v>1</v>
      </c>
      <c r="K238" t="str">
        <f>IF(customer[[#This Row],[IsChurned]]=1,"Churned","Active")</f>
        <v>Churned</v>
      </c>
      <c r="L238" t="str">
        <f>TEXT(customer[[#This Row],[SubscriptionDate]],"mmm-yyyy")</f>
        <v>Jan-2024</v>
      </c>
      <c r="M238" s="1">
        <f ca="1">TODAY()-customer[[#This Row],[LastLoginDate]]</f>
        <v>470</v>
      </c>
    </row>
    <row r="239" spans="1:13" x14ac:dyDescent="0.3">
      <c r="A239">
        <v>238</v>
      </c>
      <c r="B239" t="s">
        <v>252</v>
      </c>
      <c r="C239">
        <v>53</v>
      </c>
      <c r="D239" t="s">
        <v>11</v>
      </c>
      <c r="E239" t="s">
        <v>15</v>
      </c>
      <c r="F239" s="1">
        <v>45073</v>
      </c>
      <c r="G239" s="1">
        <v>45224</v>
      </c>
      <c r="H239">
        <v>423</v>
      </c>
      <c r="I239">
        <v>2.2999999999999998</v>
      </c>
      <c r="J239">
        <v>1</v>
      </c>
      <c r="K239" t="str">
        <f>IF(customer[[#This Row],[IsChurned]]=1,"Churned","Active")</f>
        <v>Churned</v>
      </c>
      <c r="L239" t="str">
        <f>TEXT(customer[[#This Row],[SubscriptionDate]],"mmm-yyyy")</f>
        <v>May-2023</v>
      </c>
      <c r="M239" s="1">
        <f ca="1">TODAY()-customer[[#This Row],[LastLoginDate]]</f>
        <v>819</v>
      </c>
    </row>
    <row r="240" spans="1:13" x14ac:dyDescent="0.3">
      <c r="A240">
        <v>239</v>
      </c>
      <c r="B240" t="s">
        <v>253</v>
      </c>
      <c r="C240">
        <v>58</v>
      </c>
      <c r="D240" t="s">
        <v>14</v>
      </c>
      <c r="E240" t="s">
        <v>12</v>
      </c>
      <c r="F240" s="1">
        <v>44756</v>
      </c>
      <c r="G240" s="1">
        <v>44927</v>
      </c>
      <c r="H240">
        <v>54</v>
      </c>
      <c r="I240">
        <v>3.8</v>
      </c>
      <c r="J240">
        <v>0</v>
      </c>
      <c r="K240" t="str">
        <f>IF(customer[[#This Row],[IsChurned]]=1,"Churned","Active")</f>
        <v>Active</v>
      </c>
      <c r="L240" t="str">
        <f>TEXT(customer[[#This Row],[SubscriptionDate]],"mmm-yyyy")</f>
        <v>Jul-2022</v>
      </c>
      <c r="M240" s="1">
        <f ca="1">TODAY()-customer[[#This Row],[LastLoginDate]]</f>
        <v>1116</v>
      </c>
    </row>
    <row r="241" spans="1:13" x14ac:dyDescent="0.3">
      <c r="A241">
        <v>240</v>
      </c>
      <c r="B241" t="s">
        <v>254</v>
      </c>
      <c r="C241">
        <v>30</v>
      </c>
      <c r="D241" t="s">
        <v>11</v>
      </c>
      <c r="E241" t="s">
        <v>12</v>
      </c>
      <c r="F241" s="1">
        <v>45436</v>
      </c>
      <c r="G241" s="1">
        <v>45467</v>
      </c>
      <c r="H241">
        <v>46</v>
      </c>
      <c r="I241">
        <v>4.9000000000000004</v>
      </c>
      <c r="J241">
        <v>0</v>
      </c>
      <c r="K241" t="str">
        <f>IF(customer[[#This Row],[IsChurned]]=1,"Churned","Active")</f>
        <v>Active</v>
      </c>
      <c r="L241" t="str">
        <f>TEXT(customer[[#This Row],[SubscriptionDate]],"mmm-yyyy")</f>
        <v>May-2024</v>
      </c>
      <c r="M241" s="1">
        <f ca="1">TODAY()-customer[[#This Row],[LastLoginDate]]</f>
        <v>576</v>
      </c>
    </row>
    <row r="242" spans="1:13" x14ac:dyDescent="0.3">
      <c r="A242">
        <v>241</v>
      </c>
      <c r="B242" t="s">
        <v>255</v>
      </c>
      <c r="C242">
        <v>23</v>
      </c>
      <c r="D242" t="s">
        <v>14</v>
      </c>
      <c r="E242" t="s">
        <v>18</v>
      </c>
      <c r="F242" s="1">
        <v>45222</v>
      </c>
      <c r="G242" s="1">
        <v>45275</v>
      </c>
      <c r="H242">
        <v>355</v>
      </c>
      <c r="I242">
        <v>4.5</v>
      </c>
      <c r="J242">
        <v>1</v>
      </c>
      <c r="K242" t="str">
        <f>IF(customer[[#This Row],[IsChurned]]=1,"Churned","Active")</f>
        <v>Churned</v>
      </c>
      <c r="L242" t="str">
        <f>TEXT(customer[[#This Row],[SubscriptionDate]],"mmm-yyyy")</f>
        <v>Oct-2023</v>
      </c>
      <c r="M242" s="1">
        <f ca="1">TODAY()-customer[[#This Row],[LastLoginDate]]</f>
        <v>768</v>
      </c>
    </row>
    <row r="243" spans="1:13" x14ac:dyDescent="0.3">
      <c r="A243">
        <v>242</v>
      </c>
      <c r="B243" t="s">
        <v>256</v>
      </c>
      <c r="C243">
        <v>25</v>
      </c>
      <c r="D243" t="s">
        <v>11</v>
      </c>
      <c r="E243" t="s">
        <v>12</v>
      </c>
      <c r="F243" s="1">
        <v>45268</v>
      </c>
      <c r="G243" s="1">
        <v>45602</v>
      </c>
      <c r="H243">
        <v>248</v>
      </c>
      <c r="I243">
        <v>4.5</v>
      </c>
      <c r="J243">
        <v>0</v>
      </c>
      <c r="K243" t="str">
        <f>IF(customer[[#This Row],[IsChurned]]=1,"Churned","Active")</f>
        <v>Active</v>
      </c>
      <c r="L243" t="str">
        <f>TEXT(customer[[#This Row],[SubscriptionDate]],"mmm-yyyy")</f>
        <v>Dec-2023</v>
      </c>
      <c r="M243" s="1">
        <f ca="1">TODAY()-customer[[#This Row],[LastLoginDate]]</f>
        <v>441</v>
      </c>
    </row>
    <row r="244" spans="1:13" x14ac:dyDescent="0.3">
      <c r="A244">
        <v>243</v>
      </c>
      <c r="B244" t="s">
        <v>257</v>
      </c>
      <c r="C244">
        <v>19</v>
      </c>
      <c r="D244" t="s">
        <v>14</v>
      </c>
      <c r="E244" t="s">
        <v>15</v>
      </c>
      <c r="F244" s="1">
        <v>45262</v>
      </c>
      <c r="G244" s="1">
        <v>45353</v>
      </c>
      <c r="H244">
        <v>200</v>
      </c>
      <c r="I244">
        <v>3.4</v>
      </c>
      <c r="J244">
        <v>0</v>
      </c>
      <c r="K244" t="str">
        <f>IF(customer[[#This Row],[IsChurned]]=1,"Churned","Active")</f>
        <v>Active</v>
      </c>
      <c r="L244" t="str">
        <f>TEXT(customer[[#This Row],[SubscriptionDate]],"mmm-yyyy")</f>
        <v>Dec-2023</v>
      </c>
      <c r="M244" s="1">
        <f ca="1">TODAY()-customer[[#This Row],[LastLoginDate]]</f>
        <v>690</v>
      </c>
    </row>
    <row r="245" spans="1:13" x14ac:dyDescent="0.3">
      <c r="A245">
        <v>244</v>
      </c>
      <c r="B245" t="s">
        <v>258</v>
      </c>
      <c r="C245">
        <v>36</v>
      </c>
      <c r="D245" t="s">
        <v>14</v>
      </c>
      <c r="E245" t="s">
        <v>15</v>
      </c>
      <c r="F245" s="1">
        <v>44757</v>
      </c>
      <c r="G245" s="1">
        <v>44798</v>
      </c>
      <c r="H245">
        <v>90</v>
      </c>
      <c r="I245">
        <v>1</v>
      </c>
      <c r="J245">
        <v>0</v>
      </c>
      <c r="K245" t="str">
        <f>IF(customer[[#This Row],[IsChurned]]=1,"Churned","Active")</f>
        <v>Active</v>
      </c>
      <c r="L245" t="str">
        <f>TEXT(customer[[#This Row],[SubscriptionDate]],"mmm-yyyy")</f>
        <v>Jul-2022</v>
      </c>
      <c r="M245" s="1">
        <f ca="1">TODAY()-customer[[#This Row],[LastLoginDate]]</f>
        <v>1245</v>
      </c>
    </row>
    <row r="246" spans="1:13" x14ac:dyDescent="0.3">
      <c r="A246">
        <v>245</v>
      </c>
      <c r="B246" t="s">
        <v>259</v>
      </c>
      <c r="C246">
        <v>51</v>
      </c>
      <c r="D246" t="s">
        <v>14</v>
      </c>
      <c r="E246" t="s">
        <v>12</v>
      </c>
      <c r="F246" s="1">
        <v>45411</v>
      </c>
      <c r="G246" s="1">
        <v>45753</v>
      </c>
      <c r="H246">
        <v>415</v>
      </c>
      <c r="I246">
        <v>4.8</v>
      </c>
      <c r="J246">
        <v>1</v>
      </c>
      <c r="K246" t="str">
        <f>IF(customer[[#This Row],[IsChurned]]=1,"Churned","Active")</f>
        <v>Churned</v>
      </c>
      <c r="L246" t="str">
        <f>TEXT(customer[[#This Row],[SubscriptionDate]],"mmm-yyyy")</f>
        <v>Apr-2024</v>
      </c>
      <c r="M246" s="1">
        <f ca="1">TODAY()-customer[[#This Row],[LastLoginDate]]</f>
        <v>290</v>
      </c>
    </row>
    <row r="247" spans="1:13" x14ac:dyDescent="0.3">
      <c r="A247">
        <v>246</v>
      </c>
      <c r="B247" t="s">
        <v>260</v>
      </c>
      <c r="C247">
        <v>23</v>
      </c>
      <c r="D247" t="s">
        <v>11</v>
      </c>
      <c r="E247" t="s">
        <v>12</v>
      </c>
      <c r="F247" s="1">
        <v>45138</v>
      </c>
      <c r="G247" s="1">
        <v>45140</v>
      </c>
      <c r="H247">
        <v>56</v>
      </c>
      <c r="I247">
        <v>1.5</v>
      </c>
      <c r="J247">
        <v>1</v>
      </c>
      <c r="K247" t="str">
        <f>IF(customer[[#This Row],[IsChurned]]=1,"Churned","Active")</f>
        <v>Churned</v>
      </c>
      <c r="L247" t="str">
        <f>TEXT(customer[[#This Row],[SubscriptionDate]],"mmm-yyyy")</f>
        <v>Jul-2023</v>
      </c>
      <c r="M247" s="1">
        <f ca="1">TODAY()-customer[[#This Row],[LastLoginDate]]</f>
        <v>903</v>
      </c>
    </row>
    <row r="248" spans="1:13" x14ac:dyDescent="0.3">
      <c r="A248">
        <v>247</v>
      </c>
      <c r="B248" t="s">
        <v>261</v>
      </c>
      <c r="C248">
        <v>51</v>
      </c>
      <c r="D248" t="s">
        <v>11</v>
      </c>
      <c r="E248" t="s">
        <v>18</v>
      </c>
      <c r="F248" s="1">
        <v>45448</v>
      </c>
      <c r="G248" s="1">
        <v>45674</v>
      </c>
      <c r="H248">
        <v>418</v>
      </c>
      <c r="I248">
        <v>4.8</v>
      </c>
      <c r="J248">
        <v>1</v>
      </c>
      <c r="K248" t="str">
        <f>IF(customer[[#This Row],[IsChurned]]=1,"Churned","Active")</f>
        <v>Churned</v>
      </c>
      <c r="L248" t="str">
        <f>TEXT(customer[[#This Row],[SubscriptionDate]],"mmm-yyyy")</f>
        <v>Jun-2024</v>
      </c>
      <c r="M248" s="1">
        <f ca="1">TODAY()-customer[[#This Row],[LastLoginDate]]</f>
        <v>369</v>
      </c>
    </row>
    <row r="249" spans="1:13" x14ac:dyDescent="0.3">
      <c r="A249">
        <v>248</v>
      </c>
      <c r="B249" t="s">
        <v>262</v>
      </c>
      <c r="C249">
        <v>22</v>
      </c>
      <c r="D249" t="s">
        <v>14</v>
      </c>
      <c r="E249" t="s">
        <v>18</v>
      </c>
      <c r="F249" s="1">
        <v>44796</v>
      </c>
      <c r="G249" s="1">
        <v>45015</v>
      </c>
      <c r="H249">
        <v>13</v>
      </c>
      <c r="I249">
        <v>3.2</v>
      </c>
      <c r="J249">
        <v>0</v>
      </c>
      <c r="K249" t="str">
        <f>IF(customer[[#This Row],[IsChurned]]=1,"Churned","Active")</f>
        <v>Active</v>
      </c>
      <c r="L249" t="str">
        <f>TEXT(customer[[#This Row],[SubscriptionDate]],"mmm-yyyy")</f>
        <v>Aug-2022</v>
      </c>
      <c r="M249" s="1">
        <f ca="1">TODAY()-customer[[#This Row],[LastLoginDate]]</f>
        <v>1028</v>
      </c>
    </row>
    <row r="250" spans="1:13" x14ac:dyDescent="0.3">
      <c r="A250">
        <v>249</v>
      </c>
      <c r="B250" t="s">
        <v>263</v>
      </c>
      <c r="C250">
        <v>20</v>
      </c>
      <c r="D250" t="s">
        <v>14</v>
      </c>
      <c r="E250" t="s">
        <v>12</v>
      </c>
      <c r="F250" s="1">
        <v>45462</v>
      </c>
      <c r="G250" s="1">
        <v>45655</v>
      </c>
      <c r="H250">
        <v>460</v>
      </c>
      <c r="I250">
        <v>4.4000000000000004</v>
      </c>
      <c r="J250">
        <v>1</v>
      </c>
      <c r="K250" t="str">
        <f>IF(customer[[#This Row],[IsChurned]]=1,"Churned","Active")</f>
        <v>Churned</v>
      </c>
      <c r="L250" t="str">
        <f>TEXT(customer[[#This Row],[SubscriptionDate]],"mmm-yyyy")</f>
        <v>Jun-2024</v>
      </c>
      <c r="M250" s="1">
        <f ca="1">TODAY()-customer[[#This Row],[LastLoginDate]]</f>
        <v>388</v>
      </c>
    </row>
    <row r="251" spans="1:13" x14ac:dyDescent="0.3">
      <c r="A251">
        <v>250</v>
      </c>
      <c r="B251" t="s">
        <v>264</v>
      </c>
      <c r="C251">
        <v>23</v>
      </c>
      <c r="D251" t="s">
        <v>14</v>
      </c>
      <c r="E251" t="s">
        <v>15</v>
      </c>
      <c r="F251" s="1">
        <v>44937</v>
      </c>
      <c r="G251" s="1">
        <v>45256</v>
      </c>
      <c r="H251">
        <v>146</v>
      </c>
      <c r="I251">
        <v>1.6</v>
      </c>
      <c r="J251">
        <v>1</v>
      </c>
      <c r="K251" t="str">
        <f>IF(customer[[#This Row],[IsChurned]]=1,"Churned","Active")</f>
        <v>Churned</v>
      </c>
      <c r="L251" t="str">
        <f>TEXT(customer[[#This Row],[SubscriptionDate]],"mmm-yyyy")</f>
        <v>Jan-2023</v>
      </c>
      <c r="M251" s="1">
        <f ca="1">TODAY()-customer[[#This Row],[LastLoginDate]]</f>
        <v>787</v>
      </c>
    </row>
    <row r="252" spans="1:13" x14ac:dyDescent="0.3">
      <c r="A252">
        <v>251</v>
      </c>
      <c r="B252" t="s">
        <v>265</v>
      </c>
      <c r="C252">
        <v>59</v>
      </c>
      <c r="D252" t="s">
        <v>14</v>
      </c>
      <c r="E252" t="s">
        <v>18</v>
      </c>
      <c r="F252" s="1">
        <v>45281</v>
      </c>
      <c r="G252" s="1">
        <v>45491</v>
      </c>
      <c r="H252">
        <v>415</v>
      </c>
      <c r="I252">
        <v>2.9</v>
      </c>
      <c r="J252">
        <v>0</v>
      </c>
      <c r="K252" t="str">
        <f>IF(customer[[#This Row],[IsChurned]]=1,"Churned","Active")</f>
        <v>Active</v>
      </c>
      <c r="L252" t="str">
        <f>TEXT(customer[[#This Row],[SubscriptionDate]],"mmm-yyyy")</f>
        <v>Dec-2023</v>
      </c>
      <c r="M252" s="1">
        <f ca="1">TODAY()-customer[[#This Row],[LastLoginDate]]</f>
        <v>552</v>
      </c>
    </row>
    <row r="253" spans="1:13" x14ac:dyDescent="0.3">
      <c r="A253">
        <v>252</v>
      </c>
      <c r="B253" t="s">
        <v>266</v>
      </c>
      <c r="C253">
        <v>52</v>
      </c>
      <c r="D253" t="s">
        <v>14</v>
      </c>
      <c r="E253" t="s">
        <v>12</v>
      </c>
      <c r="F253" s="1">
        <v>45124</v>
      </c>
      <c r="G253" s="1">
        <v>45348</v>
      </c>
      <c r="H253">
        <v>222</v>
      </c>
      <c r="I253">
        <v>1.9</v>
      </c>
      <c r="J253">
        <v>1</v>
      </c>
      <c r="K253" t="str">
        <f>IF(customer[[#This Row],[IsChurned]]=1,"Churned","Active")</f>
        <v>Churned</v>
      </c>
      <c r="L253" t="str">
        <f>TEXT(customer[[#This Row],[SubscriptionDate]],"mmm-yyyy")</f>
        <v>Jul-2023</v>
      </c>
      <c r="M253" s="1">
        <f ca="1">TODAY()-customer[[#This Row],[LastLoginDate]]</f>
        <v>695</v>
      </c>
    </row>
    <row r="254" spans="1:13" x14ac:dyDescent="0.3">
      <c r="A254">
        <v>253</v>
      </c>
      <c r="B254" t="s">
        <v>267</v>
      </c>
      <c r="C254">
        <v>27</v>
      </c>
      <c r="D254" t="s">
        <v>14</v>
      </c>
      <c r="E254" t="s">
        <v>18</v>
      </c>
      <c r="F254" s="1">
        <v>45385</v>
      </c>
      <c r="G254" s="1">
        <v>45664</v>
      </c>
      <c r="H254">
        <v>49</v>
      </c>
      <c r="I254">
        <v>3.5</v>
      </c>
      <c r="J254">
        <v>0</v>
      </c>
      <c r="K254" t="str">
        <f>IF(customer[[#This Row],[IsChurned]]=1,"Churned","Active")</f>
        <v>Active</v>
      </c>
      <c r="L254" t="str">
        <f>TEXT(customer[[#This Row],[SubscriptionDate]],"mmm-yyyy")</f>
        <v>Apr-2024</v>
      </c>
      <c r="M254" s="1">
        <f ca="1">TODAY()-customer[[#This Row],[LastLoginDate]]</f>
        <v>379</v>
      </c>
    </row>
    <row r="255" spans="1:13" x14ac:dyDescent="0.3">
      <c r="A255">
        <v>254</v>
      </c>
      <c r="B255" t="s">
        <v>268</v>
      </c>
      <c r="C255">
        <v>32</v>
      </c>
      <c r="D255" t="s">
        <v>14</v>
      </c>
      <c r="E255" t="s">
        <v>12</v>
      </c>
      <c r="F255" s="1">
        <v>45190</v>
      </c>
      <c r="G255" s="1">
        <v>45261</v>
      </c>
      <c r="H255">
        <v>289</v>
      </c>
      <c r="I255">
        <v>1.7</v>
      </c>
      <c r="J255">
        <v>1</v>
      </c>
      <c r="K255" t="str">
        <f>IF(customer[[#This Row],[IsChurned]]=1,"Churned","Active")</f>
        <v>Churned</v>
      </c>
      <c r="L255" t="str">
        <f>TEXT(customer[[#This Row],[SubscriptionDate]],"mmm-yyyy")</f>
        <v>Sep-2023</v>
      </c>
      <c r="M255" s="1">
        <f ca="1">TODAY()-customer[[#This Row],[LastLoginDate]]</f>
        <v>782</v>
      </c>
    </row>
    <row r="256" spans="1:13" x14ac:dyDescent="0.3">
      <c r="A256">
        <v>255</v>
      </c>
      <c r="B256" t="s">
        <v>269</v>
      </c>
      <c r="C256">
        <v>54</v>
      </c>
      <c r="D256" t="s">
        <v>14</v>
      </c>
      <c r="E256" t="s">
        <v>18</v>
      </c>
      <c r="F256" s="1">
        <v>44600</v>
      </c>
      <c r="G256" s="1">
        <v>44862</v>
      </c>
      <c r="H256">
        <v>41</v>
      </c>
      <c r="I256">
        <v>3.7</v>
      </c>
      <c r="J256">
        <v>1</v>
      </c>
      <c r="K256" t="str">
        <f>IF(customer[[#This Row],[IsChurned]]=1,"Churned","Active")</f>
        <v>Churned</v>
      </c>
      <c r="L256" t="str">
        <f>TEXT(customer[[#This Row],[SubscriptionDate]],"mmm-yyyy")</f>
        <v>Feb-2022</v>
      </c>
      <c r="M256" s="1">
        <f ca="1">TODAY()-customer[[#This Row],[LastLoginDate]]</f>
        <v>1181</v>
      </c>
    </row>
    <row r="257" spans="1:13" x14ac:dyDescent="0.3">
      <c r="A257">
        <v>256</v>
      </c>
      <c r="B257" t="s">
        <v>270</v>
      </c>
      <c r="C257">
        <v>51</v>
      </c>
      <c r="D257" t="s">
        <v>11</v>
      </c>
      <c r="E257" t="s">
        <v>15</v>
      </c>
      <c r="F257" s="1">
        <v>45412</v>
      </c>
      <c r="G257" s="1">
        <v>45662</v>
      </c>
      <c r="H257">
        <v>181</v>
      </c>
      <c r="I257">
        <v>1.1000000000000001</v>
      </c>
      <c r="J257">
        <v>1</v>
      </c>
      <c r="K257" t="str">
        <f>IF(customer[[#This Row],[IsChurned]]=1,"Churned","Active")</f>
        <v>Churned</v>
      </c>
      <c r="L257" t="str">
        <f>TEXT(customer[[#This Row],[SubscriptionDate]],"mmm-yyyy")</f>
        <v>Apr-2024</v>
      </c>
      <c r="M257" s="1">
        <f ca="1">TODAY()-customer[[#This Row],[LastLoginDate]]</f>
        <v>381</v>
      </c>
    </row>
    <row r="258" spans="1:13" x14ac:dyDescent="0.3">
      <c r="A258">
        <v>257</v>
      </c>
      <c r="B258" t="s">
        <v>271</v>
      </c>
      <c r="C258">
        <v>37</v>
      </c>
      <c r="D258" t="s">
        <v>14</v>
      </c>
      <c r="E258" t="s">
        <v>18</v>
      </c>
      <c r="F258" s="1">
        <v>44719</v>
      </c>
      <c r="G258" s="1">
        <v>44973</v>
      </c>
      <c r="H258">
        <v>418</v>
      </c>
      <c r="I258">
        <v>4</v>
      </c>
      <c r="J258">
        <v>1</v>
      </c>
      <c r="K258" t="str">
        <f>IF(customer[[#This Row],[IsChurned]]=1,"Churned","Active")</f>
        <v>Churned</v>
      </c>
      <c r="L258" t="str">
        <f>TEXT(customer[[#This Row],[SubscriptionDate]],"mmm-yyyy")</f>
        <v>Jun-2022</v>
      </c>
      <c r="M258" s="1">
        <f ca="1">TODAY()-customer[[#This Row],[LastLoginDate]]</f>
        <v>1070</v>
      </c>
    </row>
    <row r="259" spans="1:13" x14ac:dyDescent="0.3">
      <c r="A259">
        <v>258</v>
      </c>
      <c r="B259" t="s">
        <v>272</v>
      </c>
      <c r="C259">
        <v>55</v>
      </c>
      <c r="D259" t="s">
        <v>11</v>
      </c>
      <c r="E259" t="s">
        <v>15</v>
      </c>
      <c r="F259" s="1">
        <v>44647</v>
      </c>
      <c r="G259" s="1">
        <v>44939</v>
      </c>
      <c r="H259">
        <v>380</v>
      </c>
      <c r="I259">
        <v>2.5</v>
      </c>
      <c r="J259">
        <v>1</v>
      </c>
      <c r="K259" t="str">
        <f>IF(customer[[#This Row],[IsChurned]]=1,"Churned","Active")</f>
        <v>Churned</v>
      </c>
      <c r="L259" t="str">
        <f>TEXT(customer[[#This Row],[SubscriptionDate]],"mmm-yyyy")</f>
        <v>Mar-2022</v>
      </c>
      <c r="M259" s="1">
        <f ca="1">TODAY()-customer[[#This Row],[LastLoginDate]]</f>
        <v>1104</v>
      </c>
    </row>
    <row r="260" spans="1:13" x14ac:dyDescent="0.3">
      <c r="A260">
        <v>259</v>
      </c>
      <c r="B260" t="s">
        <v>273</v>
      </c>
      <c r="C260">
        <v>50</v>
      </c>
      <c r="D260" t="s">
        <v>11</v>
      </c>
      <c r="E260" t="s">
        <v>18</v>
      </c>
      <c r="F260" s="1">
        <v>45274</v>
      </c>
      <c r="G260" s="1">
        <v>45391</v>
      </c>
      <c r="H260">
        <v>128</v>
      </c>
      <c r="I260">
        <v>3.9</v>
      </c>
      <c r="J260">
        <v>0</v>
      </c>
      <c r="K260" t="str">
        <f>IF(customer[[#This Row],[IsChurned]]=1,"Churned","Active")</f>
        <v>Active</v>
      </c>
      <c r="L260" t="str">
        <f>TEXT(customer[[#This Row],[SubscriptionDate]],"mmm-yyyy")</f>
        <v>Dec-2023</v>
      </c>
      <c r="M260" s="1">
        <f ca="1">TODAY()-customer[[#This Row],[LastLoginDate]]</f>
        <v>652</v>
      </c>
    </row>
    <row r="261" spans="1:13" x14ac:dyDescent="0.3">
      <c r="A261">
        <v>260</v>
      </c>
      <c r="B261" t="s">
        <v>274</v>
      </c>
      <c r="C261">
        <v>31</v>
      </c>
      <c r="D261" t="s">
        <v>11</v>
      </c>
      <c r="E261" t="s">
        <v>18</v>
      </c>
      <c r="F261" s="1">
        <v>45229</v>
      </c>
      <c r="G261" s="1">
        <v>45484</v>
      </c>
      <c r="H261">
        <v>227</v>
      </c>
      <c r="I261">
        <v>1.9</v>
      </c>
      <c r="J261">
        <v>0</v>
      </c>
      <c r="K261" t="str">
        <f>IF(customer[[#This Row],[IsChurned]]=1,"Churned","Active")</f>
        <v>Active</v>
      </c>
      <c r="L261" t="str">
        <f>TEXT(customer[[#This Row],[SubscriptionDate]],"mmm-yyyy")</f>
        <v>Oct-2023</v>
      </c>
      <c r="M261" s="1">
        <f ca="1">TODAY()-customer[[#This Row],[LastLoginDate]]</f>
        <v>559</v>
      </c>
    </row>
    <row r="262" spans="1:13" x14ac:dyDescent="0.3">
      <c r="A262">
        <v>261</v>
      </c>
      <c r="B262" t="s">
        <v>275</v>
      </c>
      <c r="C262">
        <v>32</v>
      </c>
      <c r="D262" t="s">
        <v>11</v>
      </c>
      <c r="E262" t="s">
        <v>12</v>
      </c>
      <c r="F262" s="1">
        <v>45055</v>
      </c>
      <c r="G262" s="1">
        <v>45283</v>
      </c>
      <c r="H262">
        <v>254</v>
      </c>
      <c r="I262">
        <v>2</v>
      </c>
      <c r="J262">
        <v>1</v>
      </c>
      <c r="K262" t="str">
        <f>IF(customer[[#This Row],[IsChurned]]=1,"Churned","Active")</f>
        <v>Churned</v>
      </c>
      <c r="L262" t="str">
        <f>TEXT(customer[[#This Row],[SubscriptionDate]],"mmm-yyyy")</f>
        <v>May-2023</v>
      </c>
      <c r="M262" s="1">
        <f ca="1">TODAY()-customer[[#This Row],[LastLoginDate]]</f>
        <v>760</v>
      </c>
    </row>
    <row r="263" spans="1:13" x14ac:dyDescent="0.3">
      <c r="A263">
        <v>262</v>
      </c>
      <c r="B263" t="s">
        <v>276</v>
      </c>
      <c r="C263">
        <v>44</v>
      </c>
      <c r="D263" t="s">
        <v>14</v>
      </c>
      <c r="E263" t="s">
        <v>12</v>
      </c>
      <c r="F263" s="1">
        <v>44764</v>
      </c>
      <c r="G263" s="1">
        <v>44766</v>
      </c>
      <c r="H263">
        <v>40</v>
      </c>
      <c r="I263">
        <v>1.8</v>
      </c>
      <c r="J263">
        <v>1</v>
      </c>
      <c r="K263" t="str">
        <f>IF(customer[[#This Row],[IsChurned]]=1,"Churned","Active")</f>
        <v>Churned</v>
      </c>
      <c r="L263" t="str">
        <f>TEXT(customer[[#This Row],[SubscriptionDate]],"mmm-yyyy")</f>
        <v>Jul-2022</v>
      </c>
      <c r="M263" s="1">
        <f ca="1">TODAY()-customer[[#This Row],[LastLoginDate]]</f>
        <v>1277</v>
      </c>
    </row>
    <row r="264" spans="1:13" x14ac:dyDescent="0.3">
      <c r="A264">
        <v>263</v>
      </c>
      <c r="B264" t="s">
        <v>277</v>
      </c>
      <c r="C264">
        <v>50</v>
      </c>
      <c r="D264" t="s">
        <v>11</v>
      </c>
      <c r="E264" t="s">
        <v>18</v>
      </c>
      <c r="F264" s="1">
        <v>45246</v>
      </c>
      <c r="G264" s="1">
        <v>45581</v>
      </c>
      <c r="H264">
        <v>101</v>
      </c>
      <c r="I264">
        <v>2.9</v>
      </c>
      <c r="J264">
        <v>1</v>
      </c>
      <c r="K264" t="str">
        <f>IF(customer[[#This Row],[IsChurned]]=1,"Churned","Active")</f>
        <v>Churned</v>
      </c>
      <c r="L264" t="str">
        <f>TEXT(customer[[#This Row],[SubscriptionDate]],"mmm-yyyy")</f>
        <v>Nov-2023</v>
      </c>
      <c r="M264" s="1">
        <f ca="1">TODAY()-customer[[#This Row],[LastLoginDate]]</f>
        <v>462</v>
      </c>
    </row>
    <row r="265" spans="1:13" x14ac:dyDescent="0.3">
      <c r="A265">
        <v>264</v>
      </c>
      <c r="B265" t="s">
        <v>278</v>
      </c>
      <c r="C265">
        <v>52</v>
      </c>
      <c r="D265" t="s">
        <v>11</v>
      </c>
      <c r="E265" t="s">
        <v>15</v>
      </c>
      <c r="F265" s="1">
        <v>45082</v>
      </c>
      <c r="G265" s="1">
        <v>45408</v>
      </c>
      <c r="H265">
        <v>277</v>
      </c>
      <c r="I265">
        <v>4</v>
      </c>
      <c r="J265">
        <v>0</v>
      </c>
      <c r="K265" t="str">
        <f>IF(customer[[#This Row],[IsChurned]]=1,"Churned","Active")</f>
        <v>Active</v>
      </c>
      <c r="L265" t="str">
        <f>TEXT(customer[[#This Row],[SubscriptionDate]],"mmm-yyyy")</f>
        <v>Jun-2023</v>
      </c>
      <c r="M265" s="1">
        <f ca="1">TODAY()-customer[[#This Row],[LastLoginDate]]</f>
        <v>635</v>
      </c>
    </row>
    <row r="266" spans="1:13" x14ac:dyDescent="0.3">
      <c r="A266">
        <v>265</v>
      </c>
      <c r="B266" t="s">
        <v>279</v>
      </c>
      <c r="C266">
        <v>21</v>
      </c>
      <c r="D266" t="s">
        <v>14</v>
      </c>
      <c r="E266" t="s">
        <v>12</v>
      </c>
      <c r="F266" s="1">
        <v>44691</v>
      </c>
      <c r="G266" s="1">
        <v>44926</v>
      </c>
      <c r="H266">
        <v>20</v>
      </c>
      <c r="I266">
        <v>3.6</v>
      </c>
      <c r="J266">
        <v>0</v>
      </c>
      <c r="K266" t="str">
        <f>IF(customer[[#This Row],[IsChurned]]=1,"Churned","Active")</f>
        <v>Active</v>
      </c>
      <c r="L266" t="str">
        <f>TEXT(customer[[#This Row],[SubscriptionDate]],"mmm-yyyy")</f>
        <v>May-2022</v>
      </c>
      <c r="M266" s="1">
        <f ca="1">TODAY()-customer[[#This Row],[LastLoginDate]]</f>
        <v>1117</v>
      </c>
    </row>
    <row r="267" spans="1:13" x14ac:dyDescent="0.3">
      <c r="A267">
        <v>266</v>
      </c>
      <c r="B267" t="s">
        <v>280</v>
      </c>
      <c r="C267">
        <v>20</v>
      </c>
      <c r="D267" t="s">
        <v>11</v>
      </c>
      <c r="E267" t="s">
        <v>18</v>
      </c>
      <c r="F267" s="1">
        <v>45330</v>
      </c>
      <c r="G267" s="1">
        <v>45465</v>
      </c>
      <c r="H267">
        <v>217</v>
      </c>
      <c r="I267">
        <v>2.5</v>
      </c>
      <c r="J267">
        <v>0</v>
      </c>
      <c r="K267" t="str">
        <f>IF(customer[[#This Row],[IsChurned]]=1,"Churned","Active")</f>
        <v>Active</v>
      </c>
      <c r="L267" t="str">
        <f>TEXT(customer[[#This Row],[SubscriptionDate]],"mmm-yyyy")</f>
        <v>Feb-2024</v>
      </c>
      <c r="M267" s="1">
        <f ca="1">TODAY()-customer[[#This Row],[LastLoginDate]]</f>
        <v>578</v>
      </c>
    </row>
    <row r="268" spans="1:13" x14ac:dyDescent="0.3">
      <c r="A268">
        <v>267</v>
      </c>
      <c r="B268" t="s">
        <v>281</v>
      </c>
      <c r="C268">
        <v>21</v>
      </c>
      <c r="D268" t="s">
        <v>11</v>
      </c>
      <c r="E268" t="s">
        <v>15</v>
      </c>
      <c r="F268" s="1">
        <v>45359</v>
      </c>
      <c r="G268" s="1">
        <v>45489</v>
      </c>
      <c r="H268">
        <v>374</v>
      </c>
      <c r="I268">
        <v>4.7</v>
      </c>
      <c r="J268">
        <v>0</v>
      </c>
      <c r="K268" t="str">
        <f>IF(customer[[#This Row],[IsChurned]]=1,"Churned","Active")</f>
        <v>Active</v>
      </c>
      <c r="L268" t="str">
        <f>TEXT(customer[[#This Row],[SubscriptionDate]],"mmm-yyyy")</f>
        <v>Mar-2024</v>
      </c>
      <c r="M268" s="1">
        <f ca="1">TODAY()-customer[[#This Row],[LastLoginDate]]</f>
        <v>554</v>
      </c>
    </row>
    <row r="269" spans="1:13" x14ac:dyDescent="0.3">
      <c r="A269">
        <v>268</v>
      </c>
      <c r="B269" t="s">
        <v>282</v>
      </c>
      <c r="C269">
        <v>36</v>
      </c>
      <c r="D269" t="s">
        <v>11</v>
      </c>
      <c r="E269" t="s">
        <v>15</v>
      </c>
      <c r="F269" s="1">
        <v>44728</v>
      </c>
      <c r="G269" s="1">
        <v>44751</v>
      </c>
      <c r="H269">
        <v>252</v>
      </c>
      <c r="I269">
        <v>1</v>
      </c>
      <c r="J269">
        <v>0</v>
      </c>
      <c r="K269" t="str">
        <f>IF(customer[[#This Row],[IsChurned]]=1,"Churned","Active")</f>
        <v>Active</v>
      </c>
      <c r="L269" t="str">
        <f>TEXT(customer[[#This Row],[SubscriptionDate]],"mmm-yyyy")</f>
        <v>Jun-2022</v>
      </c>
      <c r="M269" s="1">
        <f ca="1">TODAY()-customer[[#This Row],[LastLoginDate]]</f>
        <v>1292</v>
      </c>
    </row>
    <row r="270" spans="1:13" x14ac:dyDescent="0.3">
      <c r="A270">
        <v>269</v>
      </c>
      <c r="B270" t="s">
        <v>283</v>
      </c>
      <c r="C270">
        <v>55</v>
      </c>
      <c r="D270" t="s">
        <v>14</v>
      </c>
      <c r="E270" t="s">
        <v>15</v>
      </c>
      <c r="F270" s="1">
        <v>45203</v>
      </c>
      <c r="G270" s="1">
        <v>45333</v>
      </c>
      <c r="H270">
        <v>433</v>
      </c>
      <c r="I270">
        <v>3.1</v>
      </c>
      <c r="J270">
        <v>0</v>
      </c>
      <c r="K270" t="str">
        <f>IF(customer[[#This Row],[IsChurned]]=1,"Churned","Active")</f>
        <v>Active</v>
      </c>
      <c r="L270" t="str">
        <f>TEXT(customer[[#This Row],[SubscriptionDate]],"mmm-yyyy")</f>
        <v>Oct-2023</v>
      </c>
      <c r="M270" s="1">
        <f ca="1">TODAY()-customer[[#This Row],[LastLoginDate]]</f>
        <v>710</v>
      </c>
    </row>
    <row r="271" spans="1:13" x14ac:dyDescent="0.3">
      <c r="A271">
        <v>270</v>
      </c>
      <c r="B271" t="s">
        <v>284</v>
      </c>
      <c r="C271">
        <v>31</v>
      </c>
      <c r="D271" t="s">
        <v>14</v>
      </c>
      <c r="E271" t="s">
        <v>18</v>
      </c>
      <c r="F271" s="1">
        <v>45377</v>
      </c>
      <c r="G271" s="1">
        <v>45716</v>
      </c>
      <c r="H271">
        <v>355</v>
      </c>
      <c r="I271">
        <v>2.2999999999999998</v>
      </c>
      <c r="J271">
        <v>1</v>
      </c>
      <c r="K271" t="str">
        <f>IF(customer[[#This Row],[IsChurned]]=1,"Churned","Active")</f>
        <v>Churned</v>
      </c>
      <c r="L271" t="str">
        <f>TEXT(customer[[#This Row],[SubscriptionDate]],"mmm-yyyy")</f>
        <v>Mar-2024</v>
      </c>
      <c r="M271" s="1">
        <f ca="1">TODAY()-customer[[#This Row],[LastLoginDate]]</f>
        <v>327</v>
      </c>
    </row>
    <row r="272" spans="1:13" x14ac:dyDescent="0.3">
      <c r="A272">
        <v>271</v>
      </c>
      <c r="B272" t="s">
        <v>285</v>
      </c>
      <c r="C272">
        <v>35</v>
      </c>
      <c r="D272" t="s">
        <v>11</v>
      </c>
      <c r="E272" t="s">
        <v>18</v>
      </c>
      <c r="F272" s="1">
        <v>44968</v>
      </c>
      <c r="G272" s="1">
        <v>45237</v>
      </c>
      <c r="H272">
        <v>265</v>
      </c>
      <c r="I272">
        <v>4.4000000000000004</v>
      </c>
      <c r="J272">
        <v>0</v>
      </c>
      <c r="K272" t="str">
        <f>IF(customer[[#This Row],[IsChurned]]=1,"Churned","Active")</f>
        <v>Active</v>
      </c>
      <c r="L272" t="str">
        <f>TEXT(customer[[#This Row],[SubscriptionDate]],"mmm-yyyy")</f>
        <v>Feb-2023</v>
      </c>
      <c r="M272" s="1">
        <f ca="1">TODAY()-customer[[#This Row],[LastLoginDate]]</f>
        <v>806</v>
      </c>
    </row>
    <row r="273" spans="1:13" x14ac:dyDescent="0.3">
      <c r="A273">
        <v>272</v>
      </c>
      <c r="B273" t="s">
        <v>286</v>
      </c>
      <c r="C273">
        <v>22</v>
      </c>
      <c r="D273" t="s">
        <v>14</v>
      </c>
      <c r="E273" t="s">
        <v>18</v>
      </c>
      <c r="F273" s="1">
        <v>45319</v>
      </c>
      <c r="G273" s="1">
        <v>45547</v>
      </c>
      <c r="H273">
        <v>252</v>
      </c>
      <c r="I273">
        <v>5</v>
      </c>
      <c r="J273">
        <v>0</v>
      </c>
      <c r="K273" t="str">
        <f>IF(customer[[#This Row],[IsChurned]]=1,"Churned","Active")</f>
        <v>Active</v>
      </c>
      <c r="L273" t="str">
        <f>TEXT(customer[[#This Row],[SubscriptionDate]],"mmm-yyyy")</f>
        <v>Jan-2024</v>
      </c>
      <c r="M273" s="1">
        <f ca="1">TODAY()-customer[[#This Row],[LastLoginDate]]</f>
        <v>496</v>
      </c>
    </row>
    <row r="274" spans="1:13" x14ac:dyDescent="0.3">
      <c r="A274">
        <v>273</v>
      </c>
      <c r="B274" t="s">
        <v>287</v>
      </c>
      <c r="C274">
        <v>56</v>
      </c>
      <c r="D274" t="s">
        <v>14</v>
      </c>
      <c r="E274" t="s">
        <v>12</v>
      </c>
      <c r="F274" s="1">
        <v>44651</v>
      </c>
      <c r="G274" s="1">
        <v>44930</v>
      </c>
      <c r="H274">
        <v>153</v>
      </c>
      <c r="I274">
        <v>3.9</v>
      </c>
      <c r="J274">
        <v>0</v>
      </c>
      <c r="K274" t="str">
        <f>IF(customer[[#This Row],[IsChurned]]=1,"Churned","Active")</f>
        <v>Active</v>
      </c>
      <c r="L274" t="str">
        <f>TEXT(customer[[#This Row],[SubscriptionDate]],"mmm-yyyy")</f>
        <v>Mar-2022</v>
      </c>
      <c r="M274" s="1">
        <f ca="1">TODAY()-customer[[#This Row],[LastLoginDate]]</f>
        <v>1113</v>
      </c>
    </row>
    <row r="275" spans="1:13" x14ac:dyDescent="0.3">
      <c r="A275">
        <v>274</v>
      </c>
      <c r="B275" t="s">
        <v>288</v>
      </c>
      <c r="C275">
        <v>62</v>
      </c>
      <c r="D275" t="s">
        <v>14</v>
      </c>
      <c r="E275" t="s">
        <v>18</v>
      </c>
      <c r="F275" s="1">
        <v>45182</v>
      </c>
      <c r="G275" s="1">
        <v>45495</v>
      </c>
      <c r="H275">
        <v>292</v>
      </c>
      <c r="I275">
        <v>1.7</v>
      </c>
      <c r="J275">
        <v>0</v>
      </c>
      <c r="K275" t="str">
        <f>IF(customer[[#This Row],[IsChurned]]=1,"Churned","Active")</f>
        <v>Active</v>
      </c>
      <c r="L275" t="str">
        <f>TEXT(customer[[#This Row],[SubscriptionDate]],"mmm-yyyy")</f>
        <v>Sep-2023</v>
      </c>
      <c r="M275" s="1">
        <f ca="1">TODAY()-customer[[#This Row],[LastLoginDate]]</f>
        <v>548</v>
      </c>
    </row>
    <row r="276" spans="1:13" x14ac:dyDescent="0.3">
      <c r="A276">
        <v>275</v>
      </c>
      <c r="B276" t="s">
        <v>289</v>
      </c>
      <c r="C276">
        <v>39</v>
      </c>
      <c r="D276" t="s">
        <v>14</v>
      </c>
      <c r="E276" t="s">
        <v>12</v>
      </c>
      <c r="F276" s="1">
        <v>45293</v>
      </c>
      <c r="G276" s="1">
        <v>45493</v>
      </c>
      <c r="H276">
        <v>302</v>
      </c>
      <c r="I276">
        <v>1.4</v>
      </c>
      <c r="J276">
        <v>1</v>
      </c>
      <c r="K276" t="str">
        <f>IF(customer[[#This Row],[IsChurned]]=1,"Churned","Active")</f>
        <v>Churned</v>
      </c>
      <c r="L276" t="str">
        <f>TEXT(customer[[#This Row],[SubscriptionDate]],"mmm-yyyy")</f>
        <v>Jan-2024</v>
      </c>
      <c r="M276" s="1">
        <f ca="1">TODAY()-customer[[#This Row],[LastLoginDate]]</f>
        <v>550</v>
      </c>
    </row>
    <row r="277" spans="1:13" x14ac:dyDescent="0.3">
      <c r="A277">
        <v>276</v>
      </c>
      <c r="B277" t="s">
        <v>290</v>
      </c>
      <c r="C277">
        <v>23</v>
      </c>
      <c r="D277" t="s">
        <v>14</v>
      </c>
      <c r="E277" t="s">
        <v>15</v>
      </c>
      <c r="F277" s="1">
        <v>45280</v>
      </c>
      <c r="G277" s="1">
        <v>45576</v>
      </c>
      <c r="H277">
        <v>14</v>
      </c>
      <c r="I277">
        <v>1.1000000000000001</v>
      </c>
      <c r="J277">
        <v>1</v>
      </c>
      <c r="K277" t="str">
        <f>IF(customer[[#This Row],[IsChurned]]=1,"Churned","Active")</f>
        <v>Churned</v>
      </c>
      <c r="L277" t="str">
        <f>TEXT(customer[[#This Row],[SubscriptionDate]],"mmm-yyyy")</f>
        <v>Dec-2023</v>
      </c>
      <c r="M277" s="1">
        <f ca="1">TODAY()-customer[[#This Row],[LastLoginDate]]</f>
        <v>467</v>
      </c>
    </row>
    <row r="278" spans="1:13" x14ac:dyDescent="0.3">
      <c r="A278">
        <v>277</v>
      </c>
      <c r="B278" t="s">
        <v>291</v>
      </c>
      <c r="C278">
        <v>63</v>
      </c>
      <c r="D278" t="s">
        <v>11</v>
      </c>
      <c r="E278" t="s">
        <v>15</v>
      </c>
      <c r="F278" s="1">
        <v>45283</v>
      </c>
      <c r="G278" s="1">
        <v>45395</v>
      </c>
      <c r="H278">
        <v>90</v>
      </c>
      <c r="I278">
        <v>2.2999999999999998</v>
      </c>
      <c r="J278">
        <v>1</v>
      </c>
      <c r="K278" t="str">
        <f>IF(customer[[#This Row],[IsChurned]]=1,"Churned","Active")</f>
        <v>Churned</v>
      </c>
      <c r="L278" t="str">
        <f>TEXT(customer[[#This Row],[SubscriptionDate]],"mmm-yyyy")</f>
        <v>Dec-2023</v>
      </c>
      <c r="M278" s="1">
        <f ca="1">TODAY()-customer[[#This Row],[LastLoginDate]]</f>
        <v>648</v>
      </c>
    </row>
    <row r="279" spans="1:13" x14ac:dyDescent="0.3">
      <c r="A279">
        <v>278</v>
      </c>
      <c r="B279" t="s">
        <v>292</v>
      </c>
      <c r="C279">
        <v>41</v>
      </c>
      <c r="D279" t="s">
        <v>14</v>
      </c>
      <c r="E279" t="s">
        <v>12</v>
      </c>
      <c r="F279" s="1">
        <v>45454</v>
      </c>
      <c r="G279" s="1">
        <v>45566</v>
      </c>
      <c r="H279">
        <v>439</v>
      </c>
      <c r="I279">
        <v>3.4</v>
      </c>
      <c r="J279">
        <v>1</v>
      </c>
      <c r="K279" t="str">
        <f>IF(customer[[#This Row],[IsChurned]]=1,"Churned","Active")</f>
        <v>Churned</v>
      </c>
      <c r="L279" t="str">
        <f>TEXT(customer[[#This Row],[SubscriptionDate]],"mmm-yyyy")</f>
        <v>Jun-2024</v>
      </c>
      <c r="M279" s="1">
        <f ca="1">TODAY()-customer[[#This Row],[LastLoginDate]]</f>
        <v>477</v>
      </c>
    </row>
    <row r="280" spans="1:13" x14ac:dyDescent="0.3">
      <c r="A280">
        <v>279</v>
      </c>
      <c r="B280" t="s">
        <v>293</v>
      </c>
      <c r="C280">
        <v>18</v>
      </c>
      <c r="D280" t="s">
        <v>14</v>
      </c>
      <c r="E280" t="s">
        <v>15</v>
      </c>
      <c r="F280" s="1">
        <v>44708</v>
      </c>
      <c r="G280" s="1">
        <v>44991</v>
      </c>
      <c r="H280">
        <v>45</v>
      </c>
      <c r="I280">
        <v>2.1</v>
      </c>
      <c r="J280">
        <v>0</v>
      </c>
      <c r="K280" t="str">
        <f>IF(customer[[#This Row],[IsChurned]]=1,"Churned","Active")</f>
        <v>Active</v>
      </c>
      <c r="L280" t="str">
        <f>TEXT(customer[[#This Row],[SubscriptionDate]],"mmm-yyyy")</f>
        <v>May-2022</v>
      </c>
      <c r="M280" s="1">
        <f ca="1">TODAY()-customer[[#This Row],[LastLoginDate]]</f>
        <v>1052</v>
      </c>
    </row>
    <row r="281" spans="1:13" x14ac:dyDescent="0.3">
      <c r="A281">
        <v>280</v>
      </c>
      <c r="B281" t="s">
        <v>294</v>
      </c>
      <c r="C281">
        <v>65</v>
      </c>
      <c r="D281" t="s">
        <v>14</v>
      </c>
      <c r="E281" t="s">
        <v>15</v>
      </c>
      <c r="F281" s="1">
        <v>44614</v>
      </c>
      <c r="G281" s="1">
        <v>44920</v>
      </c>
      <c r="H281">
        <v>314</v>
      </c>
      <c r="I281">
        <v>3.3</v>
      </c>
      <c r="J281">
        <v>0</v>
      </c>
      <c r="K281" t="str">
        <f>IF(customer[[#This Row],[IsChurned]]=1,"Churned","Active")</f>
        <v>Active</v>
      </c>
      <c r="L281" t="str">
        <f>TEXT(customer[[#This Row],[SubscriptionDate]],"mmm-yyyy")</f>
        <v>Feb-2022</v>
      </c>
      <c r="M281" s="1">
        <f ca="1">TODAY()-customer[[#This Row],[LastLoginDate]]</f>
        <v>1123</v>
      </c>
    </row>
    <row r="282" spans="1:13" x14ac:dyDescent="0.3">
      <c r="A282">
        <v>281</v>
      </c>
      <c r="B282" t="s">
        <v>295</v>
      </c>
      <c r="C282">
        <v>27</v>
      </c>
      <c r="D282" t="s">
        <v>14</v>
      </c>
      <c r="E282" t="s">
        <v>15</v>
      </c>
      <c r="F282" s="1">
        <v>44879</v>
      </c>
      <c r="G282" s="1">
        <v>44895</v>
      </c>
      <c r="H282">
        <v>470</v>
      </c>
      <c r="I282">
        <v>3.6</v>
      </c>
      <c r="J282">
        <v>1</v>
      </c>
      <c r="K282" t="str">
        <f>IF(customer[[#This Row],[IsChurned]]=1,"Churned","Active")</f>
        <v>Churned</v>
      </c>
      <c r="L282" t="str">
        <f>TEXT(customer[[#This Row],[SubscriptionDate]],"mmm-yyyy")</f>
        <v>Nov-2022</v>
      </c>
      <c r="M282" s="1">
        <f ca="1">TODAY()-customer[[#This Row],[LastLoginDate]]</f>
        <v>1148</v>
      </c>
    </row>
    <row r="283" spans="1:13" x14ac:dyDescent="0.3">
      <c r="A283">
        <v>282</v>
      </c>
      <c r="B283" t="s">
        <v>296</v>
      </c>
      <c r="C283">
        <v>18</v>
      </c>
      <c r="D283" t="s">
        <v>11</v>
      </c>
      <c r="E283" t="s">
        <v>15</v>
      </c>
      <c r="F283" s="1">
        <v>45315</v>
      </c>
      <c r="G283" s="1">
        <v>45372</v>
      </c>
      <c r="H283">
        <v>22</v>
      </c>
      <c r="I283">
        <v>3.2</v>
      </c>
      <c r="J283">
        <v>1</v>
      </c>
      <c r="K283" t="str">
        <f>IF(customer[[#This Row],[IsChurned]]=1,"Churned","Active")</f>
        <v>Churned</v>
      </c>
      <c r="L283" t="str">
        <f>TEXT(customer[[#This Row],[SubscriptionDate]],"mmm-yyyy")</f>
        <v>Jan-2024</v>
      </c>
      <c r="M283" s="1">
        <f ca="1">TODAY()-customer[[#This Row],[LastLoginDate]]</f>
        <v>671</v>
      </c>
    </row>
    <row r="284" spans="1:13" x14ac:dyDescent="0.3">
      <c r="A284">
        <v>283</v>
      </c>
      <c r="B284" t="s">
        <v>297</v>
      </c>
      <c r="C284">
        <v>57</v>
      </c>
      <c r="D284" t="s">
        <v>11</v>
      </c>
      <c r="E284" t="s">
        <v>12</v>
      </c>
      <c r="F284" s="1">
        <v>45285</v>
      </c>
      <c r="G284" s="1">
        <v>45630</v>
      </c>
      <c r="H284">
        <v>413</v>
      </c>
      <c r="I284">
        <v>2.5</v>
      </c>
      <c r="J284">
        <v>1</v>
      </c>
      <c r="K284" t="str">
        <f>IF(customer[[#This Row],[IsChurned]]=1,"Churned","Active")</f>
        <v>Churned</v>
      </c>
      <c r="L284" t="str">
        <f>TEXT(customer[[#This Row],[SubscriptionDate]],"mmm-yyyy")</f>
        <v>Dec-2023</v>
      </c>
      <c r="M284" s="1">
        <f ca="1">TODAY()-customer[[#This Row],[LastLoginDate]]</f>
        <v>413</v>
      </c>
    </row>
    <row r="285" spans="1:13" x14ac:dyDescent="0.3">
      <c r="A285">
        <v>284</v>
      </c>
      <c r="B285" t="s">
        <v>298</v>
      </c>
      <c r="C285">
        <v>43</v>
      </c>
      <c r="D285" t="s">
        <v>11</v>
      </c>
      <c r="E285" t="s">
        <v>18</v>
      </c>
      <c r="F285" s="1">
        <v>44634</v>
      </c>
      <c r="G285" s="1">
        <v>44754</v>
      </c>
      <c r="H285">
        <v>70</v>
      </c>
      <c r="I285">
        <v>2.4</v>
      </c>
      <c r="J285">
        <v>1</v>
      </c>
      <c r="K285" t="str">
        <f>IF(customer[[#This Row],[IsChurned]]=1,"Churned","Active")</f>
        <v>Churned</v>
      </c>
      <c r="L285" t="str">
        <f>TEXT(customer[[#This Row],[SubscriptionDate]],"mmm-yyyy")</f>
        <v>Mar-2022</v>
      </c>
      <c r="M285" s="1">
        <f ca="1">TODAY()-customer[[#This Row],[LastLoginDate]]</f>
        <v>1289</v>
      </c>
    </row>
    <row r="286" spans="1:13" x14ac:dyDescent="0.3">
      <c r="A286">
        <v>285</v>
      </c>
      <c r="B286" t="s">
        <v>299</v>
      </c>
      <c r="C286">
        <v>34</v>
      </c>
      <c r="D286" t="s">
        <v>14</v>
      </c>
      <c r="E286" t="s">
        <v>15</v>
      </c>
      <c r="F286" s="1">
        <v>44781</v>
      </c>
      <c r="G286" s="1">
        <v>45037</v>
      </c>
      <c r="H286">
        <v>331</v>
      </c>
      <c r="I286">
        <v>2.9</v>
      </c>
      <c r="J286">
        <v>1</v>
      </c>
      <c r="K286" t="str">
        <f>IF(customer[[#This Row],[IsChurned]]=1,"Churned","Active")</f>
        <v>Churned</v>
      </c>
      <c r="L286" t="str">
        <f>TEXT(customer[[#This Row],[SubscriptionDate]],"mmm-yyyy")</f>
        <v>Aug-2022</v>
      </c>
      <c r="M286" s="1">
        <f ca="1">TODAY()-customer[[#This Row],[LastLoginDate]]</f>
        <v>1006</v>
      </c>
    </row>
    <row r="287" spans="1:13" x14ac:dyDescent="0.3">
      <c r="A287">
        <v>286</v>
      </c>
      <c r="B287" t="s">
        <v>300</v>
      </c>
      <c r="C287">
        <v>19</v>
      </c>
      <c r="D287" t="s">
        <v>14</v>
      </c>
      <c r="E287" t="s">
        <v>12</v>
      </c>
      <c r="F287" s="1">
        <v>45162</v>
      </c>
      <c r="G287" s="1">
        <v>45175</v>
      </c>
      <c r="H287">
        <v>433</v>
      </c>
      <c r="I287">
        <v>2</v>
      </c>
      <c r="J287">
        <v>1</v>
      </c>
      <c r="K287" t="str">
        <f>IF(customer[[#This Row],[IsChurned]]=1,"Churned","Active")</f>
        <v>Churned</v>
      </c>
      <c r="L287" t="str">
        <f>TEXT(customer[[#This Row],[SubscriptionDate]],"mmm-yyyy")</f>
        <v>Aug-2023</v>
      </c>
      <c r="M287" s="1">
        <f ca="1">TODAY()-customer[[#This Row],[LastLoginDate]]</f>
        <v>868</v>
      </c>
    </row>
    <row r="288" spans="1:13" x14ac:dyDescent="0.3">
      <c r="A288">
        <v>287</v>
      </c>
      <c r="B288" t="s">
        <v>301</v>
      </c>
      <c r="C288">
        <v>44</v>
      </c>
      <c r="D288" t="s">
        <v>11</v>
      </c>
      <c r="E288" t="s">
        <v>15</v>
      </c>
      <c r="F288" s="1">
        <v>45236</v>
      </c>
      <c r="G288" s="1">
        <v>45352</v>
      </c>
      <c r="H288">
        <v>223</v>
      </c>
      <c r="I288">
        <v>3.6</v>
      </c>
      <c r="J288">
        <v>1</v>
      </c>
      <c r="K288" t="str">
        <f>IF(customer[[#This Row],[IsChurned]]=1,"Churned","Active")</f>
        <v>Churned</v>
      </c>
      <c r="L288" t="str">
        <f>TEXT(customer[[#This Row],[SubscriptionDate]],"mmm-yyyy")</f>
        <v>Nov-2023</v>
      </c>
      <c r="M288" s="1">
        <f ca="1">TODAY()-customer[[#This Row],[LastLoginDate]]</f>
        <v>691</v>
      </c>
    </row>
    <row r="289" spans="1:13" x14ac:dyDescent="0.3">
      <c r="A289">
        <v>288</v>
      </c>
      <c r="B289" t="s">
        <v>302</v>
      </c>
      <c r="C289">
        <v>49</v>
      </c>
      <c r="D289" t="s">
        <v>11</v>
      </c>
      <c r="E289" t="s">
        <v>18</v>
      </c>
      <c r="F289" s="1">
        <v>44920</v>
      </c>
      <c r="G289" s="1">
        <v>45266</v>
      </c>
      <c r="H289">
        <v>13</v>
      </c>
      <c r="I289">
        <v>2.5</v>
      </c>
      <c r="J289">
        <v>0</v>
      </c>
      <c r="K289" t="str">
        <f>IF(customer[[#This Row],[IsChurned]]=1,"Churned","Active")</f>
        <v>Active</v>
      </c>
      <c r="L289" t="str">
        <f>TEXT(customer[[#This Row],[SubscriptionDate]],"mmm-yyyy")</f>
        <v>Dec-2022</v>
      </c>
      <c r="M289" s="1">
        <f ca="1">TODAY()-customer[[#This Row],[LastLoginDate]]</f>
        <v>777</v>
      </c>
    </row>
    <row r="290" spans="1:13" x14ac:dyDescent="0.3">
      <c r="A290">
        <v>289</v>
      </c>
      <c r="B290" t="s">
        <v>303</v>
      </c>
      <c r="C290">
        <v>50</v>
      </c>
      <c r="D290" t="s">
        <v>14</v>
      </c>
      <c r="E290" t="s">
        <v>15</v>
      </c>
      <c r="F290" s="1">
        <v>45233</v>
      </c>
      <c r="G290" s="1">
        <v>45406</v>
      </c>
      <c r="H290">
        <v>70</v>
      </c>
      <c r="I290">
        <v>2.9</v>
      </c>
      <c r="J290">
        <v>0</v>
      </c>
      <c r="K290" t="str">
        <f>IF(customer[[#This Row],[IsChurned]]=1,"Churned","Active")</f>
        <v>Active</v>
      </c>
      <c r="L290" t="str">
        <f>TEXT(customer[[#This Row],[SubscriptionDate]],"mmm-yyyy")</f>
        <v>Nov-2023</v>
      </c>
      <c r="M290" s="1">
        <f ca="1">TODAY()-customer[[#This Row],[LastLoginDate]]</f>
        <v>637</v>
      </c>
    </row>
    <row r="291" spans="1:13" x14ac:dyDescent="0.3">
      <c r="A291">
        <v>290</v>
      </c>
      <c r="B291" t="s">
        <v>304</v>
      </c>
      <c r="C291">
        <v>25</v>
      </c>
      <c r="D291" t="s">
        <v>11</v>
      </c>
      <c r="E291" t="s">
        <v>18</v>
      </c>
      <c r="F291" s="1">
        <v>44660</v>
      </c>
      <c r="G291" s="1">
        <v>44996</v>
      </c>
      <c r="H291">
        <v>216</v>
      </c>
      <c r="I291">
        <v>2.4</v>
      </c>
      <c r="J291">
        <v>1</v>
      </c>
      <c r="K291" t="str">
        <f>IF(customer[[#This Row],[IsChurned]]=1,"Churned","Active")</f>
        <v>Churned</v>
      </c>
      <c r="L291" t="str">
        <f>TEXT(customer[[#This Row],[SubscriptionDate]],"mmm-yyyy")</f>
        <v>Apr-2022</v>
      </c>
      <c r="M291" s="1">
        <f ca="1">TODAY()-customer[[#This Row],[LastLoginDate]]</f>
        <v>1047</v>
      </c>
    </row>
    <row r="292" spans="1:13" x14ac:dyDescent="0.3">
      <c r="A292">
        <v>291</v>
      </c>
      <c r="B292" t="s">
        <v>305</v>
      </c>
      <c r="C292">
        <v>58</v>
      </c>
      <c r="D292" t="s">
        <v>14</v>
      </c>
      <c r="E292" t="s">
        <v>18</v>
      </c>
      <c r="F292" s="1">
        <v>45257</v>
      </c>
      <c r="G292" s="1">
        <v>45613</v>
      </c>
      <c r="H292">
        <v>253</v>
      </c>
      <c r="I292">
        <v>1.8</v>
      </c>
      <c r="J292">
        <v>0</v>
      </c>
      <c r="K292" t="str">
        <f>IF(customer[[#This Row],[IsChurned]]=1,"Churned","Active")</f>
        <v>Active</v>
      </c>
      <c r="L292" t="str">
        <f>TEXT(customer[[#This Row],[SubscriptionDate]],"mmm-yyyy")</f>
        <v>Nov-2023</v>
      </c>
      <c r="M292" s="1">
        <f ca="1">TODAY()-customer[[#This Row],[LastLoginDate]]</f>
        <v>430</v>
      </c>
    </row>
    <row r="293" spans="1:13" x14ac:dyDescent="0.3">
      <c r="A293">
        <v>292</v>
      </c>
      <c r="B293" t="s">
        <v>306</v>
      </c>
      <c r="C293">
        <v>23</v>
      </c>
      <c r="D293" t="s">
        <v>14</v>
      </c>
      <c r="E293" t="s">
        <v>18</v>
      </c>
      <c r="F293" s="1">
        <v>45461</v>
      </c>
      <c r="G293" s="1">
        <v>45600</v>
      </c>
      <c r="H293">
        <v>391</v>
      </c>
      <c r="I293">
        <v>1.5</v>
      </c>
      <c r="J293">
        <v>0</v>
      </c>
      <c r="K293" t="str">
        <f>IF(customer[[#This Row],[IsChurned]]=1,"Churned","Active")</f>
        <v>Active</v>
      </c>
      <c r="L293" t="str">
        <f>TEXT(customer[[#This Row],[SubscriptionDate]],"mmm-yyyy")</f>
        <v>Jun-2024</v>
      </c>
      <c r="M293" s="1">
        <f ca="1">TODAY()-customer[[#This Row],[LastLoginDate]]</f>
        <v>443</v>
      </c>
    </row>
    <row r="294" spans="1:13" x14ac:dyDescent="0.3">
      <c r="A294">
        <v>293</v>
      </c>
      <c r="B294" t="s">
        <v>307</v>
      </c>
      <c r="C294">
        <v>53</v>
      </c>
      <c r="D294" t="s">
        <v>14</v>
      </c>
      <c r="E294" t="s">
        <v>15</v>
      </c>
      <c r="F294" s="1">
        <v>45449</v>
      </c>
      <c r="G294" s="1">
        <v>45532</v>
      </c>
      <c r="H294">
        <v>469</v>
      </c>
      <c r="I294">
        <v>4.5</v>
      </c>
      <c r="J294">
        <v>0</v>
      </c>
      <c r="K294" t="str">
        <f>IF(customer[[#This Row],[IsChurned]]=1,"Churned","Active")</f>
        <v>Active</v>
      </c>
      <c r="L294" t="str">
        <f>TEXT(customer[[#This Row],[SubscriptionDate]],"mmm-yyyy")</f>
        <v>Jun-2024</v>
      </c>
      <c r="M294" s="1">
        <f ca="1">TODAY()-customer[[#This Row],[LastLoginDate]]</f>
        <v>511</v>
      </c>
    </row>
    <row r="295" spans="1:13" x14ac:dyDescent="0.3">
      <c r="A295">
        <v>294</v>
      </c>
      <c r="B295" t="s">
        <v>308</v>
      </c>
      <c r="C295">
        <v>30</v>
      </c>
      <c r="D295" t="s">
        <v>14</v>
      </c>
      <c r="E295" t="s">
        <v>18</v>
      </c>
      <c r="F295" s="1">
        <v>44663</v>
      </c>
      <c r="G295" s="1">
        <v>44944</v>
      </c>
      <c r="H295">
        <v>254</v>
      </c>
      <c r="I295">
        <v>2.2000000000000002</v>
      </c>
      <c r="J295">
        <v>0</v>
      </c>
      <c r="K295" t="str">
        <f>IF(customer[[#This Row],[IsChurned]]=1,"Churned","Active")</f>
        <v>Active</v>
      </c>
      <c r="L295" t="str">
        <f>TEXT(customer[[#This Row],[SubscriptionDate]],"mmm-yyyy")</f>
        <v>Apr-2022</v>
      </c>
      <c r="M295" s="1">
        <f ca="1">TODAY()-customer[[#This Row],[LastLoginDate]]</f>
        <v>1099</v>
      </c>
    </row>
    <row r="296" spans="1:13" x14ac:dyDescent="0.3">
      <c r="A296">
        <v>295</v>
      </c>
      <c r="B296" t="s">
        <v>309</v>
      </c>
      <c r="C296">
        <v>18</v>
      </c>
      <c r="D296" t="s">
        <v>14</v>
      </c>
      <c r="E296" t="s">
        <v>15</v>
      </c>
      <c r="F296" s="1">
        <v>44976</v>
      </c>
      <c r="G296" s="1">
        <v>44990</v>
      </c>
      <c r="H296">
        <v>232</v>
      </c>
      <c r="I296">
        <v>2.8</v>
      </c>
      <c r="J296">
        <v>0</v>
      </c>
      <c r="K296" t="str">
        <f>IF(customer[[#This Row],[IsChurned]]=1,"Churned","Active")</f>
        <v>Active</v>
      </c>
      <c r="L296" t="str">
        <f>TEXT(customer[[#This Row],[SubscriptionDate]],"mmm-yyyy")</f>
        <v>Feb-2023</v>
      </c>
      <c r="M296" s="1">
        <f ca="1">TODAY()-customer[[#This Row],[LastLoginDate]]</f>
        <v>1053</v>
      </c>
    </row>
    <row r="297" spans="1:13" x14ac:dyDescent="0.3">
      <c r="A297">
        <v>296</v>
      </c>
      <c r="B297" t="s">
        <v>310</v>
      </c>
      <c r="C297">
        <v>55</v>
      </c>
      <c r="D297" t="s">
        <v>11</v>
      </c>
      <c r="E297" t="s">
        <v>12</v>
      </c>
      <c r="F297" s="1">
        <v>45102</v>
      </c>
      <c r="G297" s="1">
        <v>45459</v>
      </c>
      <c r="H297">
        <v>380</v>
      </c>
      <c r="I297">
        <v>2.9</v>
      </c>
      <c r="J297">
        <v>1</v>
      </c>
      <c r="K297" t="str">
        <f>IF(customer[[#This Row],[IsChurned]]=1,"Churned","Active")</f>
        <v>Churned</v>
      </c>
      <c r="L297" t="str">
        <f>TEXT(customer[[#This Row],[SubscriptionDate]],"mmm-yyyy")</f>
        <v>Jun-2023</v>
      </c>
      <c r="M297" s="1">
        <f ca="1">TODAY()-customer[[#This Row],[LastLoginDate]]</f>
        <v>584</v>
      </c>
    </row>
    <row r="298" spans="1:13" x14ac:dyDescent="0.3">
      <c r="A298">
        <v>297</v>
      </c>
      <c r="B298" t="s">
        <v>311</v>
      </c>
      <c r="C298">
        <v>55</v>
      </c>
      <c r="D298" t="s">
        <v>11</v>
      </c>
      <c r="E298" t="s">
        <v>18</v>
      </c>
      <c r="F298" s="1">
        <v>44630</v>
      </c>
      <c r="G298" s="1">
        <v>44742</v>
      </c>
      <c r="H298">
        <v>273</v>
      </c>
      <c r="I298">
        <v>4.3</v>
      </c>
      <c r="J298">
        <v>0</v>
      </c>
      <c r="K298" t="str">
        <f>IF(customer[[#This Row],[IsChurned]]=1,"Churned","Active")</f>
        <v>Active</v>
      </c>
      <c r="L298" t="str">
        <f>TEXT(customer[[#This Row],[SubscriptionDate]],"mmm-yyyy")</f>
        <v>Mar-2022</v>
      </c>
      <c r="M298" s="1">
        <f ca="1">TODAY()-customer[[#This Row],[LastLoginDate]]</f>
        <v>1301</v>
      </c>
    </row>
    <row r="299" spans="1:13" x14ac:dyDescent="0.3">
      <c r="A299">
        <v>298</v>
      </c>
      <c r="B299" t="s">
        <v>312</v>
      </c>
      <c r="C299">
        <v>31</v>
      </c>
      <c r="D299" t="s">
        <v>14</v>
      </c>
      <c r="E299" t="s">
        <v>12</v>
      </c>
      <c r="F299" s="1">
        <v>45172</v>
      </c>
      <c r="G299" s="1">
        <v>45487</v>
      </c>
      <c r="H299">
        <v>470</v>
      </c>
      <c r="I299">
        <v>4.2</v>
      </c>
      <c r="J299">
        <v>1</v>
      </c>
      <c r="K299" t="str">
        <f>IF(customer[[#This Row],[IsChurned]]=1,"Churned","Active")</f>
        <v>Churned</v>
      </c>
      <c r="L299" t="str">
        <f>TEXT(customer[[#This Row],[SubscriptionDate]],"mmm-yyyy")</f>
        <v>Sep-2023</v>
      </c>
      <c r="M299" s="1">
        <f ca="1">TODAY()-customer[[#This Row],[LastLoginDate]]</f>
        <v>556</v>
      </c>
    </row>
    <row r="300" spans="1:13" x14ac:dyDescent="0.3">
      <c r="A300">
        <v>299</v>
      </c>
      <c r="B300" t="s">
        <v>313</v>
      </c>
      <c r="C300">
        <v>59</v>
      </c>
      <c r="D300" t="s">
        <v>11</v>
      </c>
      <c r="E300" t="s">
        <v>18</v>
      </c>
      <c r="F300" s="1">
        <v>44609</v>
      </c>
      <c r="G300" s="1">
        <v>44844</v>
      </c>
      <c r="H300">
        <v>378</v>
      </c>
      <c r="I300">
        <v>2</v>
      </c>
      <c r="J300">
        <v>1</v>
      </c>
      <c r="K300" t="str">
        <f>IF(customer[[#This Row],[IsChurned]]=1,"Churned","Active")</f>
        <v>Churned</v>
      </c>
      <c r="L300" t="str">
        <f>TEXT(customer[[#This Row],[SubscriptionDate]],"mmm-yyyy")</f>
        <v>Feb-2022</v>
      </c>
      <c r="M300" s="1">
        <f ca="1">TODAY()-customer[[#This Row],[LastLoginDate]]</f>
        <v>1199</v>
      </c>
    </row>
    <row r="301" spans="1:13" x14ac:dyDescent="0.3">
      <c r="A301">
        <v>300</v>
      </c>
      <c r="B301" t="s">
        <v>314</v>
      </c>
      <c r="C301">
        <v>36</v>
      </c>
      <c r="D301" t="s">
        <v>14</v>
      </c>
      <c r="E301" t="s">
        <v>15</v>
      </c>
      <c r="F301" s="1">
        <v>45123</v>
      </c>
      <c r="G301" s="1">
        <v>45458</v>
      </c>
      <c r="H301">
        <v>345</v>
      </c>
      <c r="I301">
        <v>4.0999999999999996</v>
      </c>
      <c r="J301">
        <v>0</v>
      </c>
      <c r="K301" t="str">
        <f>IF(customer[[#This Row],[IsChurned]]=1,"Churned","Active")</f>
        <v>Active</v>
      </c>
      <c r="L301" t="str">
        <f>TEXT(customer[[#This Row],[SubscriptionDate]],"mmm-yyyy")</f>
        <v>Jul-2023</v>
      </c>
      <c r="M301" s="1">
        <f ca="1">TODAY()-customer[[#This Row],[LastLoginDate]]</f>
        <v>585</v>
      </c>
    </row>
    <row r="302" spans="1:13" x14ac:dyDescent="0.3">
      <c r="A302">
        <v>301</v>
      </c>
      <c r="B302" t="s">
        <v>315</v>
      </c>
      <c r="C302">
        <v>31</v>
      </c>
      <c r="D302" t="s">
        <v>11</v>
      </c>
      <c r="E302" t="s">
        <v>18</v>
      </c>
      <c r="F302" s="1">
        <v>45291</v>
      </c>
      <c r="G302" s="1">
        <v>45394</v>
      </c>
      <c r="H302">
        <v>362</v>
      </c>
      <c r="I302">
        <v>3.9</v>
      </c>
      <c r="J302">
        <v>1</v>
      </c>
      <c r="K302" t="str">
        <f>IF(customer[[#This Row],[IsChurned]]=1,"Churned","Active")</f>
        <v>Churned</v>
      </c>
      <c r="L302" t="str">
        <f>TEXT(customer[[#This Row],[SubscriptionDate]],"mmm-yyyy")</f>
        <v>Dec-2023</v>
      </c>
      <c r="M302" s="1">
        <f ca="1">TODAY()-customer[[#This Row],[LastLoginDate]]</f>
        <v>649</v>
      </c>
    </row>
    <row r="303" spans="1:13" x14ac:dyDescent="0.3">
      <c r="A303">
        <v>302</v>
      </c>
      <c r="B303" t="s">
        <v>316</v>
      </c>
      <c r="C303">
        <v>60</v>
      </c>
      <c r="D303" t="s">
        <v>14</v>
      </c>
      <c r="E303" t="s">
        <v>15</v>
      </c>
      <c r="F303" s="1">
        <v>45341</v>
      </c>
      <c r="G303" s="1">
        <v>45555</v>
      </c>
      <c r="H303">
        <v>257</v>
      </c>
      <c r="I303">
        <v>3.8</v>
      </c>
      <c r="J303">
        <v>0</v>
      </c>
      <c r="K303" t="str">
        <f>IF(customer[[#This Row],[IsChurned]]=1,"Churned","Active")</f>
        <v>Active</v>
      </c>
      <c r="L303" t="str">
        <f>TEXT(customer[[#This Row],[SubscriptionDate]],"mmm-yyyy")</f>
        <v>Feb-2024</v>
      </c>
      <c r="M303" s="1">
        <f ca="1">TODAY()-customer[[#This Row],[LastLoginDate]]</f>
        <v>488</v>
      </c>
    </row>
    <row r="304" spans="1:13" x14ac:dyDescent="0.3">
      <c r="A304">
        <v>303</v>
      </c>
      <c r="B304" t="s">
        <v>317</v>
      </c>
      <c r="C304">
        <v>45</v>
      </c>
      <c r="D304" t="s">
        <v>14</v>
      </c>
      <c r="E304" t="s">
        <v>18</v>
      </c>
      <c r="F304" s="1">
        <v>44682</v>
      </c>
      <c r="G304" s="1">
        <v>45008</v>
      </c>
      <c r="H304">
        <v>214</v>
      </c>
      <c r="I304">
        <v>1.8</v>
      </c>
      <c r="J304">
        <v>1</v>
      </c>
      <c r="K304" t="str">
        <f>IF(customer[[#This Row],[IsChurned]]=1,"Churned","Active")</f>
        <v>Churned</v>
      </c>
      <c r="L304" t="str">
        <f>TEXT(customer[[#This Row],[SubscriptionDate]],"mmm-yyyy")</f>
        <v>May-2022</v>
      </c>
      <c r="M304" s="1">
        <f ca="1">TODAY()-customer[[#This Row],[LastLoginDate]]</f>
        <v>1035</v>
      </c>
    </row>
    <row r="305" spans="1:13" x14ac:dyDescent="0.3">
      <c r="A305">
        <v>304</v>
      </c>
      <c r="B305" t="s">
        <v>318</v>
      </c>
      <c r="C305">
        <v>31</v>
      </c>
      <c r="D305" t="s">
        <v>14</v>
      </c>
      <c r="E305" t="s">
        <v>12</v>
      </c>
      <c r="F305" s="1">
        <v>44721</v>
      </c>
      <c r="G305" s="1">
        <v>45016</v>
      </c>
      <c r="H305">
        <v>181</v>
      </c>
      <c r="I305">
        <v>2.9</v>
      </c>
      <c r="J305">
        <v>1</v>
      </c>
      <c r="K305" t="str">
        <f>IF(customer[[#This Row],[IsChurned]]=1,"Churned","Active")</f>
        <v>Churned</v>
      </c>
      <c r="L305" t="str">
        <f>TEXT(customer[[#This Row],[SubscriptionDate]],"mmm-yyyy")</f>
        <v>Jun-2022</v>
      </c>
      <c r="M305" s="1">
        <f ca="1">TODAY()-customer[[#This Row],[LastLoginDate]]</f>
        <v>1027</v>
      </c>
    </row>
    <row r="306" spans="1:13" x14ac:dyDescent="0.3">
      <c r="A306">
        <v>305</v>
      </c>
      <c r="B306" t="s">
        <v>319</v>
      </c>
      <c r="C306">
        <v>62</v>
      </c>
      <c r="D306" t="s">
        <v>14</v>
      </c>
      <c r="E306" t="s">
        <v>15</v>
      </c>
      <c r="F306" s="1">
        <v>45428</v>
      </c>
      <c r="G306" s="1">
        <v>45686</v>
      </c>
      <c r="H306">
        <v>146</v>
      </c>
      <c r="I306">
        <v>4.5999999999999996</v>
      </c>
      <c r="J306">
        <v>0</v>
      </c>
      <c r="K306" t="str">
        <f>IF(customer[[#This Row],[IsChurned]]=1,"Churned","Active")</f>
        <v>Active</v>
      </c>
      <c r="L306" t="str">
        <f>TEXT(customer[[#This Row],[SubscriptionDate]],"mmm-yyyy")</f>
        <v>May-2024</v>
      </c>
      <c r="M306" s="1">
        <f ca="1">TODAY()-customer[[#This Row],[LastLoginDate]]</f>
        <v>357</v>
      </c>
    </row>
    <row r="307" spans="1:13" x14ac:dyDescent="0.3">
      <c r="A307">
        <v>306</v>
      </c>
      <c r="B307" t="s">
        <v>320</v>
      </c>
      <c r="C307">
        <v>63</v>
      </c>
      <c r="D307" t="s">
        <v>11</v>
      </c>
      <c r="E307" t="s">
        <v>18</v>
      </c>
      <c r="F307" s="1">
        <v>45045</v>
      </c>
      <c r="G307" s="1">
        <v>45246</v>
      </c>
      <c r="H307">
        <v>469</v>
      </c>
      <c r="I307">
        <v>3.8</v>
      </c>
      <c r="J307">
        <v>1</v>
      </c>
      <c r="K307" t="str">
        <f>IF(customer[[#This Row],[IsChurned]]=1,"Churned","Active")</f>
        <v>Churned</v>
      </c>
      <c r="L307" t="str">
        <f>TEXT(customer[[#This Row],[SubscriptionDate]],"mmm-yyyy")</f>
        <v>Apr-2023</v>
      </c>
      <c r="M307" s="1">
        <f ca="1">TODAY()-customer[[#This Row],[LastLoginDate]]</f>
        <v>797</v>
      </c>
    </row>
    <row r="308" spans="1:13" x14ac:dyDescent="0.3">
      <c r="A308">
        <v>307</v>
      </c>
      <c r="B308" t="s">
        <v>321</v>
      </c>
      <c r="C308">
        <v>30</v>
      </c>
      <c r="D308" t="s">
        <v>11</v>
      </c>
      <c r="E308" t="s">
        <v>12</v>
      </c>
      <c r="F308" s="1">
        <v>45210</v>
      </c>
      <c r="G308" s="1">
        <v>45290</v>
      </c>
      <c r="H308">
        <v>135</v>
      </c>
      <c r="I308">
        <v>4.5</v>
      </c>
      <c r="J308">
        <v>0</v>
      </c>
      <c r="K308" t="str">
        <f>IF(customer[[#This Row],[IsChurned]]=1,"Churned","Active")</f>
        <v>Active</v>
      </c>
      <c r="L308" t="str">
        <f>TEXT(customer[[#This Row],[SubscriptionDate]],"mmm-yyyy")</f>
        <v>Oct-2023</v>
      </c>
      <c r="M308" s="1">
        <f ca="1">TODAY()-customer[[#This Row],[LastLoginDate]]</f>
        <v>753</v>
      </c>
    </row>
    <row r="309" spans="1:13" x14ac:dyDescent="0.3">
      <c r="A309">
        <v>308</v>
      </c>
      <c r="B309" t="s">
        <v>322</v>
      </c>
      <c r="C309">
        <v>54</v>
      </c>
      <c r="D309" t="s">
        <v>14</v>
      </c>
      <c r="E309" t="s">
        <v>18</v>
      </c>
      <c r="F309" s="1">
        <v>45336</v>
      </c>
      <c r="G309" s="1">
        <v>45589</v>
      </c>
      <c r="H309">
        <v>453</v>
      </c>
      <c r="I309">
        <v>1.3</v>
      </c>
      <c r="J309">
        <v>0</v>
      </c>
      <c r="K309" t="str">
        <f>IF(customer[[#This Row],[IsChurned]]=1,"Churned","Active")</f>
        <v>Active</v>
      </c>
      <c r="L309" t="str">
        <f>TEXT(customer[[#This Row],[SubscriptionDate]],"mmm-yyyy")</f>
        <v>Feb-2024</v>
      </c>
      <c r="M309" s="1">
        <f ca="1">TODAY()-customer[[#This Row],[LastLoginDate]]</f>
        <v>454</v>
      </c>
    </row>
    <row r="310" spans="1:13" x14ac:dyDescent="0.3">
      <c r="A310">
        <v>309</v>
      </c>
      <c r="B310" t="s">
        <v>323</v>
      </c>
      <c r="C310">
        <v>56</v>
      </c>
      <c r="D310" t="s">
        <v>14</v>
      </c>
      <c r="E310" t="s">
        <v>15</v>
      </c>
      <c r="F310" s="1">
        <v>44741</v>
      </c>
      <c r="G310" s="1">
        <v>45056</v>
      </c>
      <c r="H310">
        <v>110</v>
      </c>
      <c r="I310">
        <v>2.4</v>
      </c>
      <c r="J310">
        <v>1</v>
      </c>
      <c r="K310" t="str">
        <f>IF(customer[[#This Row],[IsChurned]]=1,"Churned","Active")</f>
        <v>Churned</v>
      </c>
      <c r="L310" t="str">
        <f>TEXT(customer[[#This Row],[SubscriptionDate]],"mmm-yyyy")</f>
        <v>Jun-2022</v>
      </c>
      <c r="M310" s="1">
        <f ca="1">TODAY()-customer[[#This Row],[LastLoginDate]]</f>
        <v>987</v>
      </c>
    </row>
    <row r="311" spans="1:13" x14ac:dyDescent="0.3">
      <c r="A311">
        <v>310</v>
      </c>
      <c r="B311" t="s">
        <v>324</v>
      </c>
      <c r="C311">
        <v>22</v>
      </c>
      <c r="D311" t="s">
        <v>11</v>
      </c>
      <c r="E311" t="s">
        <v>15</v>
      </c>
      <c r="F311" s="1">
        <v>44759</v>
      </c>
      <c r="G311" s="1">
        <v>44822</v>
      </c>
      <c r="H311">
        <v>423</v>
      </c>
      <c r="I311">
        <v>2.2999999999999998</v>
      </c>
      <c r="J311">
        <v>0</v>
      </c>
      <c r="K311" t="str">
        <f>IF(customer[[#This Row],[IsChurned]]=1,"Churned","Active")</f>
        <v>Active</v>
      </c>
      <c r="L311" t="str">
        <f>TEXT(customer[[#This Row],[SubscriptionDate]],"mmm-yyyy")</f>
        <v>Jul-2022</v>
      </c>
      <c r="M311" s="1">
        <f ca="1">TODAY()-customer[[#This Row],[LastLoginDate]]</f>
        <v>1221</v>
      </c>
    </row>
    <row r="312" spans="1:13" x14ac:dyDescent="0.3">
      <c r="A312">
        <v>311</v>
      </c>
      <c r="B312" t="s">
        <v>325</v>
      </c>
      <c r="C312">
        <v>63</v>
      </c>
      <c r="D312" t="s">
        <v>11</v>
      </c>
      <c r="E312" t="s">
        <v>18</v>
      </c>
      <c r="F312" s="1">
        <v>44847</v>
      </c>
      <c r="G312" s="1">
        <v>45009</v>
      </c>
      <c r="H312">
        <v>405</v>
      </c>
      <c r="I312">
        <v>3.3</v>
      </c>
      <c r="J312">
        <v>0</v>
      </c>
      <c r="K312" t="str">
        <f>IF(customer[[#This Row],[IsChurned]]=1,"Churned","Active")</f>
        <v>Active</v>
      </c>
      <c r="L312" t="str">
        <f>TEXT(customer[[#This Row],[SubscriptionDate]],"mmm-yyyy")</f>
        <v>Oct-2022</v>
      </c>
      <c r="M312" s="1">
        <f ca="1">TODAY()-customer[[#This Row],[LastLoginDate]]</f>
        <v>1034</v>
      </c>
    </row>
    <row r="313" spans="1:13" x14ac:dyDescent="0.3">
      <c r="A313">
        <v>312</v>
      </c>
      <c r="B313" t="s">
        <v>326</v>
      </c>
      <c r="C313">
        <v>36</v>
      </c>
      <c r="D313" t="s">
        <v>11</v>
      </c>
      <c r="E313" t="s">
        <v>18</v>
      </c>
      <c r="F313" s="1">
        <v>44806</v>
      </c>
      <c r="G313" s="1">
        <v>44978</v>
      </c>
      <c r="H313">
        <v>210</v>
      </c>
      <c r="I313">
        <v>4.4000000000000004</v>
      </c>
      <c r="J313">
        <v>0</v>
      </c>
      <c r="K313" t="str">
        <f>IF(customer[[#This Row],[IsChurned]]=1,"Churned","Active")</f>
        <v>Active</v>
      </c>
      <c r="L313" t="str">
        <f>TEXT(customer[[#This Row],[SubscriptionDate]],"mmm-yyyy")</f>
        <v>Sep-2022</v>
      </c>
      <c r="M313" s="1">
        <f ca="1">TODAY()-customer[[#This Row],[LastLoginDate]]</f>
        <v>1065</v>
      </c>
    </row>
    <row r="314" spans="1:13" x14ac:dyDescent="0.3">
      <c r="A314">
        <v>313</v>
      </c>
      <c r="B314" t="s">
        <v>327</v>
      </c>
      <c r="C314">
        <v>33</v>
      </c>
      <c r="D314" t="s">
        <v>11</v>
      </c>
      <c r="E314" t="s">
        <v>18</v>
      </c>
      <c r="F314" s="1">
        <v>44971</v>
      </c>
      <c r="G314" s="1">
        <v>45291</v>
      </c>
      <c r="H314">
        <v>375</v>
      </c>
      <c r="I314">
        <v>4.4000000000000004</v>
      </c>
      <c r="J314">
        <v>1</v>
      </c>
      <c r="K314" t="str">
        <f>IF(customer[[#This Row],[IsChurned]]=1,"Churned","Active")</f>
        <v>Churned</v>
      </c>
      <c r="L314" t="str">
        <f>TEXT(customer[[#This Row],[SubscriptionDate]],"mmm-yyyy")</f>
        <v>Feb-2023</v>
      </c>
      <c r="M314" s="1">
        <f ca="1">TODAY()-customer[[#This Row],[LastLoginDate]]</f>
        <v>752</v>
      </c>
    </row>
    <row r="315" spans="1:13" x14ac:dyDescent="0.3">
      <c r="A315">
        <v>314</v>
      </c>
      <c r="B315" t="s">
        <v>328</v>
      </c>
      <c r="C315">
        <v>42</v>
      </c>
      <c r="D315" t="s">
        <v>11</v>
      </c>
      <c r="E315" t="s">
        <v>15</v>
      </c>
      <c r="F315" s="1">
        <v>44849</v>
      </c>
      <c r="G315" s="1">
        <v>44935</v>
      </c>
      <c r="H315">
        <v>9</v>
      </c>
      <c r="I315">
        <v>1.9</v>
      </c>
      <c r="J315">
        <v>1</v>
      </c>
      <c r="K315" t="str">
        <f>IF(customer[[#This Row],[IsChurned]]=1,"Churned","Active")</f>
        <v>Churned</v>
      </c>
      <c r="L315" t="str">
        <f>TEXT(customer[[#This Row],[SubscriptionDate]],"mmm-yyyy")</f>
        <v>Oct-2022</v>
      </c>
      <c r="M315" s="1">
        <f ca="1">TODAY()-customer[[#This Row],[LastLoginDate]]</f>
        <v>1108</v>
      </c>
    </row>
    <row r="316" spans="1:13" x14ac:dyDescent="0.3">
      <c r="A316">
        <v>315</v>
      </c>
      <c r="B316" t="s">
        <v>329</v>
      </c>
      <c r="C316">
        <v>38</v>
      </c>
      <c r="D316" t="s">
        <v>14</v>
      </c>
      <c r="E316" t="s">
        <v>18</v>
      </c>
      <c r="F316" s="1">
        <v>44740</v>
      </c>
      <c r="G316" s="1">
        <v>44881</v>
      </c>
      <c r="H316">
        <v>273</v>
      </c>
      <c r="I316">
        <v>1.4</v>
      </c>
      <c r="J316">
        <v>1</v>
      </c>
      <c r="K316" t="str">
        <f>IF(customer[[#This Row],[IsChurned]]=1,"Churned","Active")</f>
        <v>Churned</v>
      </c>
      <c r="L316" t="str">
        <f>TEXT(customer[[#This Row],[SubscriptionDate]],"mmm-yyyy")</f>
        <v>Jun-2022</v>
      </c>
      <c r="M316" s="1">
        <f ca="1">TODAY()-customer[[#This Row],[LastLoginDate]]</f>
        <v>1162</v>
      </c>
    </row>
    <row r="317" spans="1:13" x14ac:dyDescent="0.3">
      <c r="A317">
        <v>316</v>
      </c>
      <c r="B317" t="s">
        <v>330</v>
      </c>
      <c r="C317">
        <v>36</v>
      </c>
      <c r="D317" t="s">
        <v>14</v>
      </c>
      <c r="E317" t="s">
        <v>18</v>
      </c>
      <c r="F317" s="1">
        <v>45106</v>
      </c>
      <c r="G317" s="1">
        <v>45114</v>
      </c>
      <c r="H317">
        <v>466</v>
      </c>
      <c r="I317">
        <v>3.6</v>
      </c>
      <c r="J317">
        <v>1</v>
      </c>
      <c r="K317" t="str">
        <f>IF(customer[[#This Row],[IsChurned]]=1,"Churned","Active")</f>
        <v>Churned</v>
      </c>
      <c r="L317" t="str">
        <f>TEXT(customer[[#This Row],[SubscriptionDate]],"mmm-yyyy")</f>
        <v>Jun-2023</v>
      </c>
      <c r="M317" s="1">
        <f ca="1">TODAY()-customer[[#This Row],[LastLoginDate]]</f>
        <v>929</v>
      </c>
    </row>
    <row r="318" spans="1:13" x14ac:dyDescent="0.3">
      <c r="A318">
        <v>317</v>
      </c>
      <c r="B318" t="s">
        <v>331</v>
      </c>
      <c r="C318">
        <v>48</v>
      </c>
      <c r="D318" t="s">
        <v>11</v>
      </c>
      <c r="E318" t="s">
        <v>15</v>
      </c>
      <c r="F318" s="1">
        <v>45397</v>
      </c>
      <c r="G318" s="1">
        <v>45477</v>
      </c>
      <c r="H318">
        <v>493</v>
      </c>
      <c r="I318">
        <v>1.9</v>
      </c>
      <c r="J318">
        <v>1</v>
      </c>
      <c r="K318" t="str">
        <f>IF(customer[[#This Row],[IsChurned]]=1,"Churned","Active")</f>
        <v>Churned</v>
      </c>
      <c r="L318" t="str">
        <f>TEXT(customer[[#This Row],[SubscriptionDate]],"mmm-yyyy")</f>
        <v>Apr-2024</v>
      </c>
      <c r="M318" s="1">
        <f ca="1">TODAY()-customer[[#This Row],[LastLoginDate]]</f>
        <v>566</v>
      </c>
    </row>
    <row r="319" spans="1:13" x14ac:dyDescent="0.3">
      <c r="A319">
        <v>318</v>
      </c>
      <c r="B319" t="s">
        <v>332</v>
      </c>
      <c r="C319">
        <v>49</v>
      </c>
      <c r="D319" t="s">
        <v>14</v>
      </c>
      <c r="E319" t="s">
        <v>15</v>
      </c>
      <c r="F319" s="1">
        <v>44569</v>
      </c>
      <c r="G319" s="1">
        <v>44694</v>
      </c>
      <c r="H319">
        <v>291</v>
      </c>
      <c r="I319">
        <v>4.5</v>
      </c>
      <c r="J319">
        <v>1</v>
      </c>
      <c r="K319" t="str">
        <f>IF(customer[[#This Row],[IsChurned]]=1,"Churned","Active")</f>
        <v>Churned</v>
      </c>
      <c r="L319" t="str">
        <f>TEXT(customer[[#This Row],[SubscriptionDate]],"mmm-yyyy")</f>
        <v>Jan-2022</v>
      </c>
      <c r="M319" s="1">
        <f ca="1">TODAY()-customer[[#This Row],[LastLoginDate]]</f>
        <v>1349</v>
      </c>
    </row>
    <row r="320" spans="1:13" x14ac:dyDescent="0.3">
      <c r="A320">
        <v>319</v>
      </c>
      <c r="B320" t="s">
        <v>333</v>
      </c>
      <c r="C320">
        <v>27</v>
      </c>
      <c r="D320" t="s">
        <v>14</v>
      </c>
      <c r="E320" t="s">
        <v>15</v>
      </c>
      <c r="F320" s="1">
        <v>44778</v>
      </c>
      <c r="G320" s="1">
        <v>44847</v>
      </c>
      <c r="H320">
        <v>370</v>
      </c>
      <c r="I320">
        <v>3.8</v>
      </c>
      <c r="J320">
        <v>1</v>
      </c>
      <c r="K320" t="str">
        <f>IF(customer[[#This Row],[IsChurned]]=1,"Churned","Active")</f>
        <v>Churned</v>
      </c>
      <c r="L320" t="str">
        <f>TEXT(customer[[#This Row],[SubscriptionDate]],"mmm-yyyy")</f>
        <v>Aug-2022</v>
      </c>
      <c r="M320" s="1">
        <f ca="1">TODAY()-customer[[#This Row],[LastLoginDate]]</f>
        <v>1196</v>
      </c>
    </row>
    <row r="321" spans="1:13" x14ac:dyDescent="0.3">
      <c r="A321">
        <v>320</v>
      </c>
      <c r="B321" t="s">
        <v>334</v>
      </c>
      <c r="C321">
        <v>19</v>
      </c>
      <c r="D321" t="s">
        <v>11</v>
      </c>
      <c r="E321" t="s">
        <v>18</v>
      </c>
      <c r="F321" s="1">
        <v>45362</v>
      </c>
      <c r="G321" s="1">
        <v>45612</v>
      </c>
      <c r="H321">
        <v>215</v>
      </c>
      <c r="I321">
        <v>1.3</v>
      </c>
      <c r="J321">
        <v>1</v>
      </c>
      <c r="K321" t="str">
        <f>IF(customer[[#This Row],[IsChurned]]=1,"Churned","Active")</f>
        <v>Churned</v>
      </c>
      <c r="L321" t="str">
        <f>TEXT(customer[[#This Row],[SubscriptionDate]],"mmm-yyyy")</f>
        <v>Mar-2024</v>
      </c>
      <c r="M321" s="1">
        <f ca="1">TODAY()-customer[[#This Row],[LastLoginDate]]</f>
        <v>431</v>
      </c>
    </row>
    <row r="322" spans="1:13" x14ac:dyDescent="0.3">
      <c r="A322">
        <v>321</v>
      </c>
      <c r="B322" t="s">
        <v>335</v>
      </c>
      <c r="C322">
        <v>22</v>
      </c>
      <c r="D322" t="s">
        <v>14</v>
      </c>
      <c r="E322" t="s">
        <v>15</v>
      </c>
      <c r="F322" s="1">
        <v>45001</v>
      </c>
      <c r="G322" s="1">
        <v>45123</v>
      </c>
      <c r="H322">
        <v>233</v>
      </c>
      <c r="I322">
        <v>4.2</v>
      </c>
      <c r="J322">
        <v>0</v>
      </c>
      <c r="K322" t="str">
        <f>IF(customer[[#This Row],[IsChurned]]=1,"Churned","Active")</f>
        <v>Active</v>
      </c>
      <c r="L322" t="str">
        <f>TEXT(customer[[#This Row],[SubscriptionDate]],"mmm-yyyy")</f>
        <v>Mar-2023</v>
      </c>
      <c r="M322" s="1">
        <f ca="1">TODAY()-customer[[#This Row],[LastLoginDate]]</f>
        <v>920</v>
      </c>
    </row>
    <row r="323" spans="1:13" x14ac:dyDescent="0.3">
      <c r="A323">
        <v>322</v>
      </c>
      <c r="B323" t="s">
        <v>336</v>
      </c>
      <c r="C323">
        <v>55</v>
      </c>
      <c r="D323" t="s">
        <v>11</v>
      </c>
      <c r="E323" t="s">
        <v>15</v>
      </c>
      <c r="F323" s="1">
        <v>45404</v>
      </c>
      <c r="G323" s="1">
        <v>45511</v>
      </c>
      <c r="H323">
        <v>258</v>
      </c>
      <c r="I323">
        <v>3.9</v>
      </c>
      <c r="J323">
        <v>1</v>
      </c>
      <c r="K323" t="str">
        <f>IF(customer[[#This Row],[IsChurned]]=1,"Churned","Active")</f>
        <v>Churned</v>
      </c>
      <c r="L323" t="str">
        <f>TEXT(customer[[#This Row],[SubscriptionDate]],"mmm-yyyy")</f>
        <v>Apr-2024</v>
      </c>
      <c r="M323" s="1">
        <f ca="1">TODAY()-customer[[#This Row],[LastLoginDate]]</f>
        <v>532</v>
      </c>
    </row>
    <row r="324" spans="1:13" x14ac:dyDescent="0.3">
      <c r="A324">
        <v>323</v>
      </c>
      <c r="B324" t="s">
        <v>337</v>
      </c>
      <c r="C324">
        <v>63</v>
      </c>
      <c r="D324" t="s">
        <v>14</v>
      </c>
      <c r="E324" t="s">
        <v>12</v>
      </c>
      <c r="F324" s="1">
        <v>44857</v>
      </c>
      <c r="G324" s="1">
        <v>45100</v>
      </c>
      <c r="H324">
        <v>251</v>
      </c>
      <c r="I324">
        <v>3</v>
      </c>
      <c r="J324">
        <v>1</v>
      </c>
      <c r="K324" t="str">
        <f>IF(customer[[#This Row],[IsChurned]]=1,"Churned","Active")</f>
        <v>Churned</v>
      </c>
      <c r="L324" t="str">
        <f>TEXT(customer[[#This Row],[SubscriptionDate]],"mmm-yyyy")</f>
        <v>Oct-2022</v>
      </c>
      <c r="M324" s="1">
        <f ca="1">TODAY()-customer[[#This Row],[LastLoginDate]]</f>
        <v>943</v>
      </c>
    </row>
    <row r="325" spans="1:13" x14ac:dyDescent="0.3">
      <c r="A325">
        <v>324</v>
      </c>
      <c r="B325" t="s">
        <v>338</v>
      </c>
      <c r="C325">
        <v>23</v>
      </c>
      <c r="D325" t="s">
        <v>14</v>
      </c>
      <c r="E325" t="s">
        <v>15</v>
      </c>
      <c r="F325" s="1">
        <v>45306</v>
      </c>
      <c r="G325" s="1">
        <v>45590</v>
      </c>
      <c r="H325">
        <v>217</v>
      </c>
      <c r="I325">
        <v>3.6</v>
      </c>
      <c r="J325">
        <v>0</v>
      </c>
      <c r="K325" t="str">
        <f>IF(customer[[#This Row],[IsChurned]]=1,"Churned","Active")</f>
        <v>Active</v>
      </c>
      <c r="L325" t="str">
        <f>TEXT(customer[[#This Row],[SubscriptionDate]],"mmm-yyyy")</f>
        <v>Jan-2024</v>
      </c>
      <c r="M325" s="1">
        <f ca="1">TODAY()-customer[[#This Row],[LastLoginDate]]</f>
        <v>453</v>
      </c>
    </row>
    <row r="326" spans="1:13" x14ac:dyDescent="0.3">
      <c r="A326">
        <v>325</v>
      </c>
      <c r="B326" t="s">
        <v>339</v>
      </c>
      <c r="C326">
        <v>42</v>
      </c>
      <c r="D326" t="s">
        <v>11</v>
      </c>
      <c r="E326" t="s">
        <v>15</v>
      </c>
      <c r="F326" s="1">
        <v>44620</v>
      </c>
      <c r="G326" s="1">
        <v>44691</v>
      </c>
      <c r="H326">
        <v>158</v>
      </c>
      <c r="I326">
        <v>4.2</v>
      </c>
      <c r="J326">
        <v>0</v>
      </c>
      <c r="K326" t="str">
        <f>IF(customer[[#This Row],[IsChurned]]=1,"Churned","Active")</f>
        <v>Active</v>
      </c>
      <c r="L326" t="str">
        <f>TEXT(customer[[#This Row],[SubscriptionDate]],"mmm-yyyy")</f>
        <v>Feb-2022</v>
      </c>
      <c r="M326" s="1">
        <f ca="1">TODAY()-customer[[#This Row],[LastLoginDate]]</f>
        <v>1352</v>
      </c>
    </row>
    <row r="327" spans="1:13" x14ac:dyDescent="0.3">
      <c r="A327">
        <v>326</v>
      </c>
      <c r="B327" t="s">
        <v>340</v>
      </c>
      <c r="C327">
        <v>18</v>
      </c>
      <c r="D327" t="s">
        <v>11</v>
      </c>
      <c r="E327" t="s">
        <v>15</v>
      </c>
      <c r="F327" s="1">
        <v>45016</v>
      </c>
      <c r="G327" s="1">
        <v>45308</v>
      </c>
      <c r="H327">
        <v>239</v>
      </c>
      <c r="I327">
        <v>3.4</v>
      </c>
      <c r="J327">
        <v>1</v>
      </c>
      <c r="K327" t="str">
        <f>IF(customer[[#This Row],[IsChurned]]=1,"Churned","Active")</f>
        <v>Churned</v>
      </c>
      <c r="L327" t="str">
        <f>TEXT(customer[[#This Row],[SubscriptionDate]],"mmm-yyyy")</f>
        <v>Mar-2023</v>
      </c>
      <c r="M327" s="1">
        <f ca="1">TODAY()-customer[[#This Row],[LastLoginDate]]</f>
        <v>735</v>
      </c>
    </row>
    <row r="328" spans="1:13" x14ac:dyDescent="0.3">
      <c r="A328">
        <v>327</v>
      </c>
      <c r="B328" t="s">
        <v>341</v>
      </c>
      <c r="C328">
        <v>39</v>
      </c>
      <c r="D328" t="s">
        <v>11</v>
      </c>
      <c r="E328" t="s">
        <v>12</v>
      </c>
      <c r="F328" s="1">
        <v>45242</v>
      </c>
      <c r="G328" s="1">
        <v>45543</v>
      </c>
      <c r="H328">
        <v>132</v>
      </c>
      <c r="I328">
        <v>4.5</v>
      </c>
      <c r="J328">
        <v>1</v>
      </c>
      <c r="K328" t="str">
        <f>IF(customer[[#This Row],[IsChurned]]=1,"Churned","Active")</f>
        <v>Churned</v>
      </c>
      <c r="L328" t="str">
        <f>TEXT(customer[[#This Row],[SubscriptionDate]],"mmm-yyyy")</f>
        <v>Nov-2023</v>
      </c>
      <c r="M328" s="1">
        <f ca="1">TODAY()-customer[[#This Row],[LastLoginDate]]</f>
        <v>500</v>
      </c>
    </row>
    <row r="329" spans="1:13" x14ac:dyDescent="0.3">
      <c r="A329">
        <v>328</v>
      </c>
      <c r="B329" t="s">
        <v>342</v>
      </c>
      <c r="C329">
        <v>43</v>
      </c>
      <c r="D329" t="s">
        <v>14</v>
      </c>
      <c r="E329" t="s">
        <v>18</v>
      </c>
      <c r="F329" s="1">
        <v>45026</v>
      </c>
      <c r="G329" s="1">
        <v>45086</v>
      </c>
      <c r="H329">
        <v>463</v>
      </c>
      <c r="I329">
        <v>4.5999999999999996</v>
      </c>
      <c r="J329">
        <v>1</v>
      </c>
      <c r="K329" t="str">
        <f>IF(customer[[#This Row],[IsChurned]]=1,"Churned","Active")</f>
        <v>Churned</v>
      </c>
      <c r="L329" t="str">
        <f>TEXT(customer[[#This Row],[SubscriptionDate]],"mmm-yyyy")</f>
        <v>Apr-2023</v>
      </c>
      <c r="M329" s="1">
        <f ca="1">TODAY()-customer[[#This Row],[LastLoginDate]]</f>
        <v>957</v>
      </c>
    </row>
    <row r="330" spans="1:13" x14ac:dyDescent="0.3">
      <c r="A330">
        <v>329</v>
      </c>
      <c r="B330" t="s">
        <v>343</v>
      </c>
      <c r="C330">
        <v>56</v>
      </c>
      <c r="D330" t="s">
        <v>11</v>
      </c>
      <c r="E330" t="s">
        <v>18</v>
      </c>
      <c r="F330" s="1">
        <v>45457</v>
      </c>
      <c r="G330" s="1">
        <v>45704</v>
      </c>
      <c r="H330">
        <v>67</v>
      </c>
      <c r="I330">
        <v>1.6</v>
      </c>
      <c r="J330">
        <v>1</v>
      </c>
      <c r="K330" t="str">
        <f>IF(customer[[#This Row],[IsChurned]]=1,"Churned","Active")</f>
        <v>Churned</v>
      </c>
      <c r="L330" t="str">
        <f>TEXT(customer[[#This Row],[SubscriptionDate]],"mmm-yyyy")</f>
        <v>Jun-2024</v>
      </c>
      <c r="M330" s="1">
        <f ca="1">TODAY()-customer[[#This Row],[LastLoginDate]]</f>
        <v>339</v>
      </c>
    </row>
    <row r="331" spans="1:13" x14ac:dyDescent="0.3">
      <c r="A331">
        <v>330</v>
      </c>
      <c r="B331" t="s">
        <v>344</v>
      </c>
      <c r="C331">
        <v>39</v>
      </c>
      <c r="D331" t="s">
        <v>14</v>
      </c>
      <c r="E331" t="s">
        <v>18</v>
      </c>
      <c r="F331" s="1">
        <v>44664</v>
      </c>
      <c r="G331" s="1">
        <v>44724</v>
      </c>
      <c r="H331">
        <v>231</v>
      </c>
      <c r="I331">
        <v>3.2</v>
      </c>
      <c r="J331">
        <v>1</v>
      </c>
      <c r="K331" t="str">
        <f>IF(customer[[#This Row],[IsChurned]]=1,"Churned","Active")</f>
        <v>Churned</v>
      </c>
      <c r="L331" t="str">
        <f>TEXT(customer[[#This Row],[SubscriptionDate]],"mmm-yyyy")</f>
        <v>Apr-2022</v>
      </c>
      <c r="M331" s="1">
        <f ca="1">TODAY()-customer[[#This Row],[LastLoginDate]]</f>
        <v>1319</v>
      </c>
    </row>
    <row r="332" spans="1:13" x14ac:dyDescent="0.3">
      <c r="A332">
        <v>331</v>
      </c>
      <c r="B332" t="s">
        <v>345</v>
      </c>
      <c r="C332">
        <v>33</v>
      </c>
      <c r="D332" t="s">
        <v>11</v>
      </c>
      <c r="E332" t="s">
        <v>18</v>
      </c>
      <c r="F332" s="1">
        <v>45273</v>
      </c>
      <c r="G332" s="1">
        <v>45621</v>
      </c>
      <c r="H332">
        <v>260</v>
      </c>
      <c r="I332">
        <v>4.5999999999999996</v>
      </c>
      <c r="J332">
        <v>0</v>
      </c>
      <c r="K332" t="str">
        <f>IF(customer[[#This Row],[IsChurned]]=1,"Churned","Active")</f>
        <v>Active</v>
      </c>
      <c r="L332" t="str">
        <f>TEXT(customer[[#This Row],[SubscriptionDate]],"mmm-yyyy")</f>
        <v>Dec-2023</v>
      </c>
      <c r="M332" s="1">
        <f ca="1">TODAY()-customer[[#This Row],[LastLoginDate]]</f>
        <v>422</v>
      </c>
    </row>
    <row r="333" spans="1:13" x14ac:dyDescent="0.3">
      <c r="A333">
        <v>332</v>
      </c>
      <c r="B333" t="s">
        <v>346</v>
      </c>
      <c r="C333">
        <v>63</v>
      </c>
      <c r="D333" t="s">
        <v>11</v>
      </c>
      <c r="E333" t="s">
        <v>15</v>
      </c>
      <c r="F333" s="1">
        <v>44681</v>
      </c>
      <c r="G333" s="1">
        <v>45037</v>
      </c>
      <c r="H333">
        <v>482</v>
      </c>
      <c r="I333">
        <v>2.2000000000000002</v>
      </c>
      <c r="J333">
        <v>0</v>
      </c>
      <c r="K333" t="str">
        <f>IF(customer[[#This Row],[IsChurned]]=1,"Churned","Active")</f>
        <v>Active</v>
      </c>
      <c r="L333" t="str">
        <f>TEXT(customer[[#This Row],[SubscriptionDate]],"mmm-yyyy")</f>
        <v>Apr-2022</v>
      </c>
      <c r="M333" s="1">
        <f ca="1">TODAY()-customer[[#This Row],[LastLoginDate]]</f>
        <v>1006</v>
      </c>
    </row>
    <row r="334" spans="1:13" x14ac:dyDescent="0.3">
      <c r="A334">
        <v>333</v>
      </c>
      <c r="B334" t="s">
        <v>347</v>
      </c>
      <c r="C334">
        <v>35</v>
      </c>
      <c r="D334" t="s">
        <v>11</v>
      </c>
      <c r="E334" t="s">
        <v>15</v>
      </c>
      <c r="F334" s="1">
        <v>44771</v>
      </c>
      <c r="G334" s="1">
        <v>45124</v>
      </c>
      <c r="H334">
        <v>37</v>
      </c>
      <c r="I334">
        <v>4.5</v>
      </c>
      <c r="J334">
        <v>0</v>
      </c>
      <c r="K334" t="str">
        <f>IF(customer[[#This Row],[IsChurned]]=1,"Churned","Active")</f>
        <v>Active</v>
      </c>
      <c r="L334" t="str">
        <f>TEXT(customer[[#This Row],[SubscriptionDate]],"mmm-yyyy")</f>
        <v>Jul-2022</v>
      </c>
      <c r="M334" s="1">
        <f ca="1">TODAY()-customer[[#This Row],[LastLoginDate]]</f>
        <v>919</v>
      </c>
    </row>
    <row r="335" spans="1:13" x14ac:dyDescent="0.3">
      <c r="A335">
        <v>334</v>
      </c>
      <c r="B335" t="s">
        <v>348</v>
      </c>
      <c r="C335">
        <v>27</v>
      </c>
      <c r="D335" t="s">
        <v>11</v>
      </c>
      <c r="E335" t="s">
        <v>18</v>
      </c>
      <c r="F335" s="1">
        <v>44698</v>
      </c>
      <c r="G335" s="1">
        <v>44892</v>
      </c>
      <c r="H335">
        <v>313</v>
      </c>
      <c r="I335">
        <v>1.7</v>
      </c>
      <c r="J335">
        <v>1</v>
      </c>
      <c r="K335" t="str">
        <f>IF(customer[[#This Row],[IsChurned]]=1,"Churned","Active")</f>
        <v>Churned</v>
      </c>
      <c r="L335" t="str">
        <f>TEXT(customer[[#This Row],[SubscriptionDate]],"mmm-yyyy")</f>
        <v>May-2022</v>
      </c>
      <c r="M335" s="1">
        <f ca="1">TODAY()-customer[[#This Row],[LastLoginDate]]</f>
        <v>1151</v>
      </c>
    </row>
    <row r="336" spans="1:13" x14ac:dyDescent="0.3">
      <c r="A336">
        <v>335</v>
      </c>
      <c r="B336" t="s">
        <v>349</v>
      </c>
      <c r="C336">
        <v>50</v>
      </c>
      <c r="D336" t="s">
        <v>14</v>
      </c>
      <c r="E336" t="s">
        <v>12</v>
      </c>
      <c r="F336" s="1">
        <v>44742</v>
      </c>
      <c r="G336" s="1">
        <v>45042</v>
      </c>
      <c r="H336">
        <v>264</v>
      </c>
      <c r="I336">
        <v>3.8</v>
      </c>
      <c r="J336">
        <v>1</v>
      </c>
      <c r="K336" t="str">
        <f>IF(customer[[#This Row],[IsChurned]]=1,"Churned","Active")</f>
        <v>Churned</v>
      </c>
      <c r="L336" t="str">
        <f>TEXT(customer[[#This Row],[SubscriptionDate]],"mmm-yyyy")</f>
        <v>Jun-2022</v>
      </c>
      <c r="M336" s="1">
        <f ca="1">TODAY()-customer[[#This Row],[LastLoginDate]]</f>
        <v>1001</v>
      </c>
    </row>
    <row r="337" spans="1:13" x14ac:dyDescent="0.3">
      <c r="A337">
        <v>336</v>
      </c>
      <c r="B337" t="s">
        <v>350</v>
      </c>
      <c r="C337">
        <v>63</v>
      </c>
      <c r="D337" t="s">
        <v>11</v>
      </c>
      <c r="E337" t="s">
        <v>15</v>
      </c>
      <c r="F337" s="1">
        <v>44981</v>
      </c>
      <c r="G337" s="1">
        <v>45168</v>
      </c>
      <c r="H337">
        <v>285</v>
      </c>
      <c r="I337">
        <v>1.8</v>
      </c>
      <c r="J337">
        <v>0</v>
      </c>
      <c r="K337" t="str">
        <f>IF(customer[[#This Row],[IsChurned]]=1,"Churned","Active")</f>
        <v>Active</v>
      </c>
      <c r="L337" t="str">
        <f>TEXT(customer[[#This Row],[SubscriptionDate]],"mmm-yyyy")</f>
        <v>Feb-2023</v>
      </c>
      <c r="M337" s="1">
        <f ca="1">TODAY()-customer[[#This Row],[LastLoginDate]]</f>
        <v>875</v>
      </c>
    </row>
    <row r="338" spans="1:13" x14ac:dyDescent="0.3">
      <c r="A338">
        <v>337</v>
      </c>
      <c r="B338" t="s">
        <v>351</v>
      </c>
      <c r="C338">
        <v>44</v>
      </c>
      <c r="D338" t="s">
        <v>11</v>
      </c>
      <c r="E338" t="s">
        <v>15</v>
      </c>
      <c r="F338" s="1">
        <v>44660</v>
      </c>
      <c r="G338" s="1">
        <v>44676</v>
      </c>
      <c r="H338">
        <v>256</v>
      </c>
      <c r="I338">
        <v>1.2</v>
      </c>
      <c r="J338">
        <v>0</v>
      </c>
      <c r="K338" t="str">
        <f>IF(customer[[#This Row],[IsChurned]]=1,"Churned","Active")</f>
        <v>Active</v>
      </c>
      <c r="L338" t="str">
        <f>TEXT(customer[[#This Row],[SubscriptionDate]],"mmm-yyyy")</f>
        <v>Apr-2022</v>
      </c>
      <c r="M338" s="1">
        <f ca="1">TODAY()-customer[[#This Row],[LastLoginDate]]</f>
        <v>1367</v>
      </c>
    </row>
    <row r="339" spans="1:13" x14ac:dyDescent="0.3">
      <c r="A339">
        <v>338</v>
      </c>
      <c r="B339" t="s">
        <v>352</v>
      </c>
      <c r="C339">
        <v>29</v>
      </c>
      <c r="D339" t="s">
        <v>11</v>
      </c>
      <c r="E339" t="s">
        <v>18</v>
      </c>
      <c r="F339" s="1">
        <v>45241</v>
      </c>
      <c r="G339" s="1">
        <v>45333</v>
      </c>
      <c r="H339">
        <v>36</v>
      </c>
      <c r="I339">
        <v>5</v>
      </c>
      <c r="J339">
        <v>1</v>
      </c>
      <c r="K339" t="str">
        <f>IF(customer[[#This Row],[IsChurned]]=1,"Churned","Active")</f>
        <v>Churned</v>
      </c>
      <c r="L339" t="str">
        <f>TEXT(customer[[#This Row],[SubscriptionDate]],"mmm-yyyy")</f>
        <v>Nov-2023</v>
      </c>
      <c r="M339" s="1">
        <f ca="1">TODAY()-customer[[#This Row],[LastLoginDate]]</f>
        <v>710</v>
      </c>
    </row>
    <row r="340" spans="1:13" x14ac:dyDescent="0.3">
      <c r="A340">
        <v>339</v>
      </c>
      <c r="B340" t="s">
        <v>353</v>
      </c>
      <c r="C340">
        <v>51</v>
      </c>
      <c r="D340" t="s">
        <v>14</v>
      </c>
      <c r="E340" t="s">
        <v>15</v>
      </c>
      <c r="F340" s="1">
        <v>45362</v>
      </c>
      <c r="G340" s="1">
        <v>45621</v>
      </c>
      <c r="H340">
        <v>441</v>
      </c>
      <c r="I340">
        <v>2.2999999999999998</v>
      </c>
      <c r="J340">
        <v>0</v>
      </c>
      <c r="K340" t="str">
        <f>IF(customer[[#This Row],[IsChurned]]=1,"Churned","Active")</f>
        <v>Active</v>
      </c>
      <c r="L340" t="str">
        <f>TEXT(customer[[#This Row],[SubscriptionDate]],"mmm-yyyy")</f>
        <v>Mar-2024</v>
      </c>
      <c r="M340" s="1">
        <f ca="1">TODAY()-customer[[#This Row],[LastLoginDate]]</f>
        <v>422</v>
      </c>
    </row>
    <row r="341" spans="1:13" x14ac:dyDescent="0.3">
      <c r="A341">
        <v>340</v>
      </c>
      <c r="B341" t="s">
        <v>354</v>
      </c>
      <c r="C341">
        <v>32</v>
      </c>
      <c r="D341" t="s">
        <v>11</v>
      </c>
      <c r="E341" t="s">
        <v>15</v>
      </c>
      <c r="F341" s="1">
        <v>45178</v>
      </c>
      <c r="G341" s="1">
        <v>45184</v>
      </c>
      <c r="H341">
        <v>58</v>
      </c>
      <c r="I341">
        <v>1.5</v>
      </c>
      <c r="J341">
        <v>0</v>
      </c>
      <c r="K341" t="str">
        <f>IF(customer[[#This Row],[IsChurned]]=1,"Churned","Active")</f>
        <v>Active</v>
      </c>
      <c r="L341" t="str">
        <f>TEXT(customer[[#This Row],[SubscriptionDate]],"mmm-yyyy")</f>
        <v>Sep-2023</v>
      </c>
      <c r="M341" s="1">
        <f ca="1">TODAY()-customer[[#This Row],[LastLoginDate]]</f>
        <v>859</v>
      </c>
    </row>
    <row r="342" spans="1:13" x14ac:dyDescent="0.3">
      <c r="A342">
        <v>341</v>
      </c>
      <c r="B342" t="s">
        <v>355</v>
      </c>
      <c r="C342">
        <v>45</v>
      </c>
      <c r="D342" t="s">
        <v>11</v>
      </c>
      <c r="E342" t="s">
        <v>18</v>
      </c>
      <c r="F342" s="1">
        <v>45120</v>
      </c>
      <c r="G342" s="1">
        <v>45369</v>
      </c>
      <c r="H342">
        <v>298</v>
      </c>
      <c r="I342">
        <v>2.4</v>
      </c>
      <c r="J342">
        <v>0</v>
      </c>
      <c r="K342" t="str">
        <f>IF(customer[[#This Row],[IsChurned]]=1,"Churned","Active")</f>
        <v>Active</v>
      </c>
      <c r="L342" t="str">
        <f>TEXT(customer[[#This Row],[SubscriptionDate]],"mmm-yyyy")</f>
        <v>Jul-2023</v>
      </c>
      <c r="M342" s="1">
        <f ca="1">TODAY()-customer[[#This Row],[LastLoginDate]]</f>
        <v>674</v>
      </c>
    </row>
    <row r="343" spans="1:13" x14ac:dyDescent="0.3">
      <c r="A343">
        <v>342</v>
      </c>
      <c r="B343" t="s">
        <v>356</v>
      </c>
      <c r="C343">
        <v>46</v>
      </c>
      <c r="D343" t="s">
        <v>11</v>
      </c>
      <c r="E343" t="s">
        <v>12</v>
      </c>
      <c r="F343" s="1">
        <v>44835</v>
      </c>
      <c r="G343" s="1">
        <v>44928</v>
      </c>
      <c r="H343">
        <v>460</v>
      </c>
      <c r="I343">
        <v>2.7</v>
      </c>
      <c r="J343">
        <v>1</v>
      </c>
      <c r="K343" t="str">
        <f>IF(customer[[#This Row],[IsChurned]]=1,"Churned","Active")</f>
        <v>Churned</v>
      </c>
      <c r="L343" t="str">
        <f>TEXT(customer[[#This Row],[SubscriptionDate]],"mmm-yyyy")</f>
        <v>Oct-2022</v>
      </c>
      <c r="M343" s="1">
        <f ca="1">TODAY()-customer[[#This Row],[LastLoginDate]]</f>
        <v>1115</v>
      </c>
    </row>
    <row r="344" spans="1:13" x14ac:dyDescent="0.3">
      <c r="A344">
        <v>343</v>
      </c>
      <c r="B344" t="s">
        <v>357</v>
      </c>
      <c r="C344">
        <v>57</v>
      </c>
      <c r="D344" t="s">
        <v>14</v>
      </c>
      <c r="E344" t="s">
        <v>18</v>
      </c>
      <c r="F344" s="1">
        <v>44996</v>
      </c>
      <c r="G344" s="1">
        <v>45075</v>
      </c>
      <c r="H344">
        <v>483</v>
      </c>
      <c r="I344">
        <v>4.0999999999999996</v>
      </c>
      <c r="J344">
        <v>0</v>
      </c>
      <c r="K344" t="str">
        <f>IF(customer[[#This Row],[IsChurned]]=1,"Churned","Active")</f>
        <v>Active</v>
      </c>
      <c r="L344" t="str">
        <f>TEXT(customer[[#This Row],[SubscriptionDate]],"mmm-yyyy")</f>
        <v>Mar-2023</v>
      </c>
      <c r="M344" s="1">
        <f ca="1">TODAY()-customer[[#This Row],[LastLoginDate]]</f>
        <v>968</v>
      </c>
    </row>
    <row r="345" spans="1:13" x14ac:dyDescent="0.3">
      <c r="A345">
        <v>344</v>
      </c>
      <c r="B345" t="s">
        <v>358</v>
      </c>
      <c r="C345">
        <v>50</v>
      </c>
      <c r="D345" t="s">
        <v>14</v>
      </c>
      <c r="E345" t="s">
        <v>12</v>
      </c>
      <c r="F345" s="1">
        <v>44585</v>
      </c>
      <c r="G345" s="1">
        <v>44730</v>
      </c>
      <c r="H345">
        <v>416</v>
      </c>
      <c r="I345">
        <v>3.2</v>
      </c>
      <c r="J345">
        <v>0</v>
      </c>
      <c r="K345" t="str">
        <f>IF(customer[[#This Row],[IsChurned]]=1,"Churned","Active")</f>
        <v>Active</v>
      </c>
      <c r="L345" t="str">
        <f>TEXT(customer[[#This Row],[SubscriptionDate]],"mmm-yyyy")</f>
        <v>Jan-2022</v>
      </c>
      <c r="M345" s="1">
        <f ca="1">TODAY()-customer[[#This Row],[LastLoginDate]]</f>
        <v>1313</v>
      </c>
    </row>
    <row r="346" spans="1:13" x14ac:dyDescent="0.3">
      <c r="A346">
        <v>345</v>
      </c>
      <c r="B346" t="s">
        <v>359</v>
      </c>
      <c r="C346">
        <v>38</v>
      </c>
      <c r="D346" t="s">
        <v>14</v>
      </c>
      <c r="E346" t="s">
        <v>18</v>
      </c>
      <c r="F346" s="1">
        <v>44823</v>
      </c>
      <c r="G346" s="1">
        <v>44961</v>
      </c>
      <c r="H346">
        <v>254</v>
      </c>
      <c r="I346">
        <v>2.9</v>
      </c>
      <c r="J346">
        <v>0</v>
      </c>
      <c r="K346" t="str">
        <f>IF(customer[[#This Row],[IsChurned]]=1,"Churned","Active")</f>
        <v>Active</v>
      </c>
      <c r="L346" t="str">
        <f>TEXT(customer[[#This Row],[SubscriptionDate]],"mmm-yyyy")</f>
        <v>Sep-2022</v>
      </c>
      <c r="M346" s="1">
        <f ca="1">TODAY()-customer[[#This Row],[LastLoginDate]]</f>
        <v>1082</v>
      </c>
    </row>
    <row r="347" spans="1:13" x14ac:dyDescent="0.3">
      <c r="A347">
        <v>346</v>
      </c>
      <c r="B347" t="s">
        <v>360</v>
      </c>
      <c r="C347">
        <v>29</v>
      </c>
      <c r="D347" t="s">
        <v>14</v>
      </c>
      <c r="E347" t="s">
        <v>18</v>
      </c>
      <c r="F347" s="1">
        <v>44587</v>
      </c>
      <c r="G347" s="1">
        <v>44606</v>
      </c>
      <c r="H347">
        <v>37</v>
      </c>
      <c r="I347">
        <v>1.4</v>
      </c>
      <c r="J347">
        <v>1</v>
      </c>
      <c r="K347" t="str">
        <f>IF(customer[[#This Row],[IsChurned]]=1,"Churned","Active")</f>
        <v>Churned</v>
      </c>
      <c r="L347" t="str">
        <f>TEXT(customer[[#This Row],[SubscriptionDate]],"mmm-yyyy")</f>
        <v>Jan-2022</v>
      </c>
      <c r="M347" s="1">
        <f ca="1">TODAY()-customer[[#This Row],[LastLoginDate]]</f>
        <v>1437</v>
      </c>
    </row>
    <row r="348" spans="1:13" x14ac:dyDescent="0.3">
      <c r="A348">
        <v>347</v>
      </c>
      <c r="B348" t="s">
        <v>361</v>
      </c>
      <c r="C348">
        <v>54</v>
      </c>
      <c r="D348" t="s">
        <v>14</v>
      </c>
      <c r="E348" t="s">
        <v>15</v>
      </c>
      <c r="F348" s="1">
        <v>44908</v>
      </c>
      <c r="G348" s="1">
        <v>45045</v>
      </c>
      <c r="H348">
        <v>67</v>
      </c>
      <c r="I348">
        <v>1.1000000000000001</v>
      </c>
      <c r="J348">
        <v>0</v>
      </c>
      <c r="K348" t="str">
        <f>IF(customer[[#This Row],[IsChurned]]=1,"Churned","Active")</f>
        <v>Active</v>
      </c>
      <c r="L348" t="str">
        <f>TEXT(customer[[#This Row],[SubscriptionDate]],"mmm-yyyy")</f>
        <v>Dec-2022</v>
      </c>
      <c r="M348" s="1">
        <f ca="1">TODAY()-customer[[#This Row],[LastLoginDate]]</f>
        <v>998</v>
      </c>
    </row>
    <row r="349" spans="1:13" x14ac:dyDescent="0.3">
      <c r="A349">
        <v>348</v>
      </c>
      <c r="B349" t="s">
        <v>362</v>
      </c>
      <c r="C349">
        <v>65</v>
      </c>
      <c r="D349" t="s">
        <v>14</v>
      </c>
      <c r="E349" t="s">
        <v>12</v>
      </c>
      <c r="F349" s="1">
        <v>45336</v>
      </c>
      <c r="G349" s="1">
        <v>45382</v>
      </c>
      <c r="H349">
        <v>457</v>
      </c>
      <c r="I349">
        <v>2</v>
      </c>
      <c r="J349">
        <v>1</v>
      </c>
      <c r="K349" t="str">
        <f>IF(customer[[#This Row],[IsChurned]]=1,"Churned","Active")</f>
        <v>Churned</v>
      </c>
      <c r="L349" t="str">
        <f>TEXT(customer[[#This Row],[SubscriptionDate]],"mmm-yyyy")</f>
        <v>Feb-2024</v>
      </c>
      <c r="M349" s="1">
        <f ca="1">TODAY()-customer[[#This Row],[LastLoginDate]]</f>
        <v>661</v>
      </c>
    </row>
    <row r="350" spans="1:13" x14ac:dyDescent="0.3">
      <c r="A350">
        <v>349</v>
      </c>
      <c r="B350" t="s">
        <v>363</v>
      </c>
      <c r="C350">
        <v>50</v>
      </c>
      <c r="D350" t="s">
        <v>14</v>
      </c>
      <c r="E350" t="s">
        <v>18</v>
      </c>
      <c r="F350" s="1">
        <v>44708</v>
      </c>
      <c r="G350" s="1">
        <v>44865</v>
      </c>
      <c r="H350">
        <v>159</v>
      </c>
      <c r="I350">
        <v>1.9</v>
      </c>
      <c r="J350">
        <v>0</v>
      </c>
      <c r="K350" t="str">
        <f>IF(customer[[#This Row],[IsChurned]]=1,"Churned","Active")</f>
        <v>Active</v>
      </c>
      <c r="L350" t="str">
        <f>TEXT(customer[[#This Row],[SubscriptionDate]],"mmm-yyyy")</f>
        <v>May-2022</v>
      </c>
      <c r="M350" s="1">
        <f ca="1">TODAY()-customer[[#This Row],[LastLoginDate]]</f>
        <v>1178</v>
      </c>
    </row>
    <row r="351" spans="1:13" x14ac:dyDescent="0.3">
      <c r="A351">
        <v>350</v>
      </c>
      <c r="B351" t="s">
        <v>364</v>
      </c>
      <c r="C351">
        <v>35</v>
      </c>
      <c r="D351" t="s">
        <v>14</v>
      </c>
      <c r="E351" t="s">
        <v>12</v>
      </c>
      <c r="F351" s="1">
        <v>45277</v>
      </c>
      <c r="G351" s="1">
        <v>45555</v>
      </c>
      <c r="H351">
        <v>98</v>
      </c>
      <c r="I351">
        <v>2.2999999999999998</v>
      </c>
      <c r="J351">
        <v>0</v>
      </c>
      <c r="K351" t="str">
        <f>IF(customer[[#This Row],[IsChurned]]=1,"Churned","Active")</f>
        <v>Active</v>
      </c>
      <c r="L351" t="str">
        <f>TEXT(customer[[#This Row],[SubscriptionDate]],"mmm-yyyy")</f>
        <v>Dec-2023</v>
      </c>
      <c r="M351" s="1">
        <f ca="1">TODAY()-customer[[#This Row],[LastLoginDate]]</f>
        <v>488</v>
      </c>
    </row>
    <row r="352" spans="1:13" x14ac:dyDescent="0.3">
      <c r="A352">
        <v>351</v>
      </c>
      <c r="B352" t="s">
        <v>365</v>
      </c>
      <c r="C352">
        <v>29</v>
      </c>
      <c r="D352" t="s">
        <v>11</v>
      </c>
      <c r="E352" t="s">
        <v>15</v>
      </c>
      <c r="F352" s="1">
        <v>45397</v>
      </c>
      <c r="G352" s="1">
        <v>45570</v>
      </c>
      <c r="H352">
        <v>193</v>
      </c>
      <c r="I352">
        <v>1.2</v>
      </c>
      <c r="J352">
        <v>0</v>
      </c>
      <c r="K352" t="str">
        <f>IF(customer[[#This Row],[IsChurned]]=1,"Churned","Active")</f>
        <v>Active</v>
      </c>
      <c r="L352" t="str">
        <f>TEXT(customer[[#This Row],[SubscriptionDate]],"mmm-yyyy")</f>
        <v>Apr-2024</v>
      </c>
      <c r="M352" s="1">
        <f ca="1">TODAY()-customer[[#This Row],[LastLoginDate]]</f>
        <v>473</v>
      </c>
    </row>
    <row r="353" spans="1:13" x14ac:dyDescent="0.3">
      <c r="A353">
        <v>352</v>
      </c>
      <c r="B353" t="s">
        <v>366</v>
      </c>
      <c r="C353">
        <v>43</v>
      </c>
      <c r="D353" t="s">
        <v>14</v>
      </c>
      <c r="E353" t="s">
        <v>18</v>
      </c>
      <c r="F353" s="1">
        <v>45010</v>
      </c>
      <c r="G353" s="1">
        <v>45134</v>
      </c>
      <c r="H353">
        <v>463</v>
      </c>
      <c r="I353">
        <v>4.0999999999999996</v>
      </c>
      <c r="J353">
        <v>0</v>
      </c>
      <c r="K353" t="str">
        <f>IF(customer[[#This Row],[IsChurned]]=1,"Churned","Active")</f>
        <v>Active</v>
      </c>
      <c r="L353" t="str">
        <f>TEXT(customer[[#This Row],[SubscriptionDate]],"mmm-yyyy")</f>
        <v>Mar-2023</v>
      </c>
      <c r="M353" s="1">
        <f ca="1">TODAY()-customer[[#This Row],[LastLoginDate]]</f>
        <v>909</v>
      </c>
    </row>
    <row r="354" spans="1:13" x14ac:dyDescent="0.3">
      <c r="A354">
        <v>353</v>
      </c>
      <c r="B354" t="s">
        <v>367</v>
      </c>
      <c r="C354">
        <v>59</v>
      </c>
      <c r="D354" t="s">
        <v>14</v>
      </c>
      <c r="E354" t="s">
        <v>12</v>
      </c>
      <c r="F354" s="1">
        <v>45393</v>
      </c>
      <c r="G354" s="1">
        <v>45626</v>
      </c>
      <c r="H354">
        <v>379</v>
      </c>
      <c r="I354">
        <v>4.5999999999999996</v>
      </c>
      <c r="J354">
        <v>0</v>
      </c>
      <c r="K354" t="str">
        <f>IF(customer[[#This Row],[IsChurned]]=1,"Churned","Active")</f>
        <v>Active</v>
      </c>
      <c r="L354" t="str">
        <f>TEXT(customer[[#This Row],[SubscriptionDate]],"mmm-yyyy")</f>
        <v>Apr-2024</v>
      </c>
      <c r="M354" s="1">
        <f ca="1">TODAY()-customer[[#This Row],[LastLoginDate]]</f>
        <v>417</v>
      </c>
    </row>
    <row r="355" spans="1:13" x14ac:dyDescent="0.3">
      <c r="A355">
        <v>354</v>
      </c>
      <c r="B355" t="s">
        <v>368</v>
      </c>
      <c r="C355">
        <v>54</v>
      </c>
      <c r="D355" t="s">
        <v>11</v>
      </c>
      <c r="E355" t="s">
        <v>12</v>
      </c>
      <c r="F355" s="1">
        <v>44863</v>
      </c>
      <c r="G355" s="1">
        <v>44929</v>
      </c>
      <c r="H355">
        <v>296</v>
      </c>
      <c r="I355">
        <v>3</v>
      </c>
      <c r="J355">
        <v>0</v>
      </c>
      <c r="K355" t="str">
        <f>IF(customer[[#This Row],[IsChurned]]=1,"Churned","Active")</f>
        <v>Active</v>
      </c>
      <c r="L355" t="str">
        <f>TEXT(customer[[#This Row],[SubscriptionDate]],"mmm-yyyy")</f>
        <v>Oct-2022</v>
      </c>
      <c r="M355" s="1">
        <f ca="1">TODAY()-customer[[#This Row],[LastLoginDate]]</f>
        <v>1114</v>
      </c>
    </row>
    <row r="356" spans="1:13" x14ac:dyDescent="0.3">
      <c r="A356">
        <v>355</v>
      </c>
      <c r="B356" t="s">
        <v>369</v>
      </c>
      <c r="C356">
        <v>18</v>
      </c>
      <c r="D356" t="s">
        <v>14</v>
      </c>
      <c r="E356" t="s">
        <v>12</v>
      </c>
      <c r="F356" s="1">
        <v>45090</v>
      </c>
      <c r="G356" s="1">
        <v>45449</v>
      </c>
      <c r="H356">
        <v>432</v>
      </c>
      <c r="I356">
        <v>2.4</v>
      </c>
      <c r="J356">
        <v>0</v>
      </c>
      <c r="K356" t="str">
        <f>IF(customer[[#This Row],[IsChurned]]=1,"Churned","Active")</f>
        <v>Active</v>
      </c>
      <c r="L356" t="str">
        <f>TEXT(customer[[#This Row],[SubscriptionDate]],"mmm-yyyy")</f>
        <v>Jun-2023</v>
      </c>
      <c r="M356" s="1">
        <f ca="1">TODAY()-customer[[#This Row],[LastLoginDate]]</f>
        <v>594</v>
      </c>
    </row>
    <row r="357" spans="1:13" x14ac:dyDescent="0.3">
      <c r="A357">
        <v>356</v>
      </c>
      <c r="B357" t="s">
        <v>370</v>
      </c>
      <c r="C357">
        <v>26</v>
      </c>
      <c r="D357" t="s">
        <v>14</v>
      </c>
      <c r="E357" t="s">
        <v>18</v>
      </c>
      <c r="F357" s="1">
        <v>45259</v>
      </c>
      <c r="G357" s="1">
        <v>45575</v>
      </c>
      <c r="H357">
        <v>214</v>
      </c>
      <c r="I357">
        <v>3.3</v>
      </c>
      <c r="J357">
        <v>1</v>
      </c>
      <c r="K357" t="str">
        <f>IF(customer[[#This Row],[IsChurned]]=1,"Churned","Active")</f>
        <v>Churned</v>
      </c>
      <c r="L357" t="str">
        <f>TEXT(customer[[#This Row],[SubscriptionDate]],"mmm-yyyy")</f>
        <v>Nov-2023</v>
      </c>
      <c r="M357" s="1">
        <f ca="1">TODAY()-customer[[#This Row],[LastLoginDate]]</f>
        <v>468</v>
      </c>
    </row>
    <row r="358" spans="1:13" x14ac:dyDescent="0.3">
      <c r="A358">
        <v>357</v>
      </c>
      <c r="B358" t="s">
        <v>371</v>
      </c>
      <c r="C358">
        <v>31</v>
      </c>
      <c r="D358" t="s">
        <v>11</v>
      </c>
      <c r="E358" t="s">
        <v>18</v>
      </c>
      <c r="F358" s="1">
        <v>45278</v>
      </c>
      <c r="G358" s="1">
        <v>45360</v>
      </c>
      <c r="H358">
        <v>199</v>
      </c>
      <c r="I358">
        <v>2.2000000000000002</v>
      </c>
      <c r="J358">
        <v>0</v>
      </c>
      <c r="K358" t="str">
        <f>IF(customer[[#This Row],[IsChurned]]=1,"Churned","Active")</f>
        <v>Active</v>
      </c>
      <c r="L358" t="str">
        <f>TEXT(customer[[#This Row],[SubscriptionDate]],"mmm-yyyy")</f>
        <v>Dec-2023</v>
      </c>
      <c r="M358" s="1">
        <f ca="1">TODAY()-customer[[#This Row],[LastLoginDate]]</f>
        <v>683</v>
      </c>
    </row>
    <row r="359" spans="1:13" x14ac:dyDescent="0.3">
      <c r="A359">
        <v>358</v>
      </c>
      <c r="B359" t="s">
        <v>372</v>
      </c>
      <c r="C359">
        <v>27</v>
      </c>
      <c r="D359" t="s">
        <v>11</v>
      </c>
      <c r="E359" t="s">
        <v>15</v>
      </c>
      <c r="F359" s="1">
        <v>45138</v>
      </c>
      <c r="G359" s="1">
        <v>45181</v>
      </c>
      <c r="H359">
        <v>366</v>
      </c>
      <c r="I359">
        <v>3.9</v>
      </c>
      <c r="J359">
        <v>0</v>
      </c>
      <c r="K359" t="str">
        <f>IF(customer[[#This Row],[IsChurned]]=1,"Churned","Active")</f>
        <v>Active</v>
      </c>
      <c r="L359" t="str">
        <f>TEXT(customer[[#This Row],[SubscriptionDate]],"mmm-yyyy")</f>
        <v>Jul-2023</v>
      </c>
      <c r="M359" s="1">
        <f ca="1">TODAY()-customer[[#This Row],[LastLoginDate]]</f>
        <v>862</v>
      </c>
    </row>
    <row r="360" spans="1:13" x14ac:dyDescent="0.3">
      <c r="A360">
        <v>359</v>
      </c>
      <c r="B360" t="s">
        <v>373</v>
      </c>
      <c r="C360">
        <v>58</v>
      </c>
      <c r="D360" t="s">
        <v>11</v>
      </c>
      <c r="E360" t="s">
        <v>18</v>
      </c>
      <c r="F360" s="1">
        <v>44840</v>
      </c>
      <c r="G360" s="1">
        <v>45129</v>
      </c>
      <c r="H360">
        <v>277</v>
      </c>
      <c r="I360">
        <v>1.6</v>
      </c>
      <c r="J360">
        <v>1</v>
      </c>
      <c r="K360" t="str">
        <f>IF(customer[[#This Row],[IsChurned]]=1,"Churned","Active")</f>
        <v>Churned</v>
      </c>
      <c r="L360" t="str">
        <f>TEXT(customer[[#This Row],[SubscriptionDate]],"mmm-yyyy")</f>
        <v>Oct-2022</v>
      </c>
      <c r="M360" s="1">
        <f ca="1">TODAY()-customer[[#This Row],[LastLoginDate]]</f>
        <v>914</v>
      </c>
    </row>
    <row r="361" spans="1:13" x14ac:dyDescent="0.3">
      <c r="A361">
        <v>360</v>
      </c>
      <c r="B361" t="s">
        <v>374</v>
      </c>
      <c r="C361">
        <v>28</v>
      </c>
      <c r="D361" t="s">
        <v>14</v>
      </c>
      <c r="E361" t="s">
        <v>12</v>
      </c>
      <c r="F361" s="1">
        <v>45453</v>
      </c>
      <c r="G361" s="1">
        <v>45740</v>
      </c>
      <c r="H361">
        <v>278</v>
      </c>
      <c r="I361">
        <v>1.8</v>
      </c>
      <c r="J361">
        <v>1</v>
      </c>
      <c r="K361" t="str">
        <f>IF(customer[[#This Row],[IsChurned]]=1,"Churned","Active")</f>
        <v>Churned</v>
      </c>
      <c r="L361" t="str">
        <f>TEXT(customer[[#This Row],[SubscriptionDate]],"mmm-yyyy")</f>
        <v>Jun-2024</v>
      </c>
      <c r="M361" s="1">
        <f ca="1">TODAY()-customer[[#This Row],[LastLoginDate]]</f>
        <v>303</v>
      </c>
    </row>
    <row r="362" spans="1:13" x14ac:dyDescent="0.3">
      <c r="A362">
        <v>361</v>
      </c>
      <c r="B362" t="s">
        <v>375</v>
      </c>
      <c r="C362">
        <v>55</v>
      </c>
      <c r="D362" t="s">
        <v>14</v>
      </c>
      <c r="E362" t="s">
        <v>12</v>
      </c>
      <c r="F362" s="1">
        <v>45162</v>
      </c>
      <c r="G362" s="1">
        <v>45421</v>
      </c>
      <c r="H362">
        <v>219</v>
      </c>
      <c r="I362">
        <v>5</v>
      </c>
      <c r="J362">
        <v>1</v>
      </c>
      <c r="K362" t="str">
        <f>IF(customer[[#This Row],[IsChurned]]=1,"Churned","Active")</f>
        <v>Churned</v>
      </c>
      <c r="L362" t="str">
        <f>TEXT(customer[[#This Row],[SubscriptionDate]],"mmm-yyyy")</f>
        <v>Aug-2023</v>
      </c>
      <c r="M362" s="1">
        <f ca="1">TODAY()-customer[[#This Row],[LastLoginDate]]</f>
        <v>622</v>
      </c>
    </row>
    <row r="363" spans="1:13" x14ac:dyDescent="0.3">
      <c r="A363">
        <v>362</v>
      </c>
      <c r="B363" t="s">
        <v>376</v>
      </c>
      <c r="C363">
        <v>44</v>
      </c>
      <c r="D363" t="s">
        <v>11</v>
      </c>
      <c r="E363" t="s">
        <v>18</v>
      </c>
      <c r="F363" s="1">
        <v>45302</v>
      </c>
      <c r="G363" s="1">
        <v>45368</v>
      </c>
      <c r="H363">
        <v>340</v>
      </c>
      <c r="I363">
        <v>1.3</v>
      </c>
      <c r="J363">
        <v>0</v>
      </c>
      <c r="K363" t="str">
        <f>IF(customer[[#This Row],[IsChurned]]=1,"Churned","Active")</f>
        <v>Active</v>
      </c>
      <c r="L363" t="str">
        <f>TEXT(customer[[#This Row],[SubscriptionDate]],"mmm-yyyy")</f>
        <v>Jan-2024</v>
      </c>
      <c r="M363" s="1">
        <f ca="1">TODAY()-customer[[#This Row],[LastLoginDate]]</f>
        <v>675</v>
      </c>
    </row>
    <row r="364" spans="1:13" x14ac:dyDescent="0.3">
      <c r="A364">
        <v>363</v>
      </c>
      <c r="B364" t="s">
        <v>377</v>
      </c>
      <c r="C364">
        <v>41</v>
      </c>
      <c r="D364" t="s">
        <v>11</v>
      </c>
      <c r="E364" t="s">
        <v>15</v>
      </c>
      <c r="F364" s="1">
        <v>45299</v>
      </c>
      <c r="G364" s="1">
        <v>45494</v>
      </c>
      <c r="H364">
        <v>103</v>
      </c>
      <c r="I364">
        <v>2.7</v>
      </c>
      <c r="J364">
        <v>0</v>
      </c>
      <c r="K364" t="str">
        <f>IF(customer[[#This Row],[IsChurned]]=1,"Churned","Active")</f>
        <v>Active</v>
      </c>
      <c r="L364" t="str">
        <f>TEXT(customer[[#This Row],[SubscriptionDate]],"mmm-yyyy")</f>
        <v>Jan-2024</v>
      </c>
      <c r="M364" s="1">
        <f ca="1">TODAY()-customer[[#This Row],[LastLoginDate]]</f>
        <v>549</v>
      </c>
    </row>
    <row r="365" spans="1:13" x14ac:dyDescent="0.3">
      <c r="A365">
        <v>364</v>
      </c>
      <c r="B365" t="s">
        <v>378</v>
      </c>
      <c r="C365">
        <v>48</v>
      </c>
      <c r="D365" t="s">
        <v>14</v>
      </c>
      <c r="E365" t="s">
        <v>15</v>
      </c>
      <c r="F365" s="1">
        <v>44804</v>
      </c>
      <c r="G365" s="1">
        <v>45075</v>
      </c>
      <c r="H365">
        <v>464</v>
      </c>
      <c r="I365">
        <v>1.4</v>
      </c>
      <c r="J365">
        <v>1</v>
      </c>
      <c r="K365" t="str">
        <f>IF(customer[[#This Row],[IsChurned]]=1,"Churned","Active")</f>
        <v>Churned</v>
      </c>
      <c r="L365" t="str">
        <f>TEXT(customer[[#This Row],[SubscriptionDate]],"mmm-yyyy")</f>
        <v>Aug-2022</v>
      </c>
      <c r="M365" s="1">
        <f ca="1">TODAY()-customer[[#This Row],[LastLoginDate]]</f>
        <v>968</v>
      </c>
    </row>
    <row r="366" spans="1:13" x14ac:dyDescent="0.3">
      <c r="A366">
        <v>365</v>
      </c>
      <c r="B366" t="s">
        <v>379</v>
      </c>
      <c r="C366">
        <v>24</v>
      </c>
      <c r="D366" t="s">
        <v>11</v>
      </c>
      <c r="E366" t="s">
        <v>18</v>
      </c>
      <c r="F366" s="1">
        <v>44954</v>
      </c>
      <c r="G366" s="1">
        <v>45029</v>
      </c>
      <c r="H366">
        <v>393</v>
      </c>
      <c r="I366">
        <v>4.3</v>
      </c>
      <c r="J366">
        <v>1</v>
      </c>
      <c r="K366" t="str">
        <f>IF(customer[[#This Row],[IsChurned]]=1,"Churned","Active")</f>
        <v>Churned</v>
      </c>
      <c r="L366" t="str">
        <f>TEXT(customer[[#This Row],[SubscriptionDate]],"mmm-yyyy")</f>
        <v>Jan-2023</v>
      </c>
      <c r="M366" s="1">
        <f ca="1">TODAY()-customer[[#This Row],[LastLoginDate]]</f>
        <v>1014</v>
      </c>
    </row>
    <row r="367" spans="1:13" x14ac:dyDescent="0.3">
      <c r="A367">
        <v>366</v>
      </c>
      <c r="B367" t="s">
        <v>380</v>
      </c>
      <c r="C367">
        <v>63</v>
      </c>
      <c r="D367" t="s">
        <v>11</v>
      </c>
      <c r="E367" t="s">
        <v>18</v>
      </c>
      <c r="F367" s="1">
        <v>44562</v>
      </c>
      <c r="G367" s="1">
        <v>44576</v>
      </c>
      <c r="H367">
        <v>190</v>
      </c>
      <c r="I367">
        <v>2</v>
      </c>
      <c r="J367">
        <v>1</v>
      </c>
      <c r="K367" t="str">
        <f>IF(customer[[#This Row],[IsChurned]]=1,"Churned","Active")</f>
        <v>Churned</v>
      </c>
      <c r="L367" t="str">
        <f>TEXT(customer[[#This Row],[SubscriptionDate]],"mmm-yyyy")</f>
        <v>Jan-2022</v>
      </c>
      <c r="M367" s="1">
        <f ca="1">TODAY()-customer[[#This Row],[LastLoginDate]]</f>
        <v>1467</v>
      </c>
    </row>
    <row r="368" spans="1:13" x14ac:dyDescent="0.3">
      <c r="A368">
        <v>367</v>
      </c>
      <c r="B368" t="s">
        <v>381</v>
      </c>
      <c r="C368">
        <v>18</v>
      </c>
      <c r="D368" t="s">
        <v>14</v>
      </c>
      <c r="E368" t="s">
        <v>15</v>
      </c>
      <c r="F368" s="1">
        <v>45287</v>
      </c>
      <c r="G368" s="1">
        <v>45489</v>
      </c>
      <c r="H368">
        <v>71</v>
      </c>
      <c r="I368">
        <v>4.0999999999999996</v>
      </c>
      <c r="J368">
        <v>1</v>
      </c>
      <c r="K368" t="str">
        <f>IF(customer[[#This Row],[IsChurned]]=1,"Churned","Active")</f>
        <v>Churned</v>
      </c>
      <c r="L368" t="str">
        <f>TEXT(customer[[#This Row],[SubscriptionDate]],"mmm-yyyy")</f>
        <v>Dec-2023</v>
      </c>
      <c r="M368" s="1">
        <f ca="1">TODAY()-customer[[#This Row],[LastLoginDate]]</f>
        <v>554</v>
      </c>
    </row>
    <row r="369" spans="1:13" x14ac:dyDescent="0.3">
      <c r="A369">
        <v>368</v>
      </c>
      <c r="B369" t="s">
        <v>382</v>
      </c>
      <c r="C369">
        <v>44</v>
      </c>
      <c r="D369" t="s">
        <v>14</v>
      </c>
      <c r="E369" t="s">
        <v>15</v>
      </c>
      <c r="F369" s="1">
        <v>45355</v>
      </c>
      <c r="G369" s="1">
        <v>45556</v>
      </c>
      <c r="H369">
        <v>245</v>
      </c>
      <c r="I369">
        <v>2.5</v>
      </c>
      <c r="J369">
        <v>0</v>
      </c>
      <c r="K369" t="str">
        <f>IF(customer[[#This Row],[IsChurned]]=1,"Churned","Active")</f>
        <v>Active</v>
      </c>
      <c r="L369" t="str">
        <f>TEXT(customer[[#This Row],[SubscriptionDate]],"mmm-yyyy")</f>
        <v>Mar-2024</v>
      </c>
      <c r="M369" s="1">
        <f ca="1">TODAY()-customer[[#This Row],[LastLoginDate]]</f>
        <v>487</v>
      </c>
    </row>
    <row r="370" spans="1:13" x14ac:dyDescent="0.3">
      <c r="A370">
        <v>369</v>
      </c>
      <c r="B370" t="s">
        <v>383</v>
      </c>
      <c r="C370">
        <v>63</v>
      </c>
      <c r="D370" t="s">
        <v>11</v>
      </c>
      <c r="E370" t="s">
        <v>18</v>
      </c>
      <c r="F370" s="1">
        <v>45086</v>
      </c>
      <c r="G370" s="1">
        <v>45254</v>
      </c>
      <c r="H370">
        <v>332</v>
      </c>
      <c r="I370">
        <v>4.7</v>
      </c>
      <c r="J370">
        <v>1</v>
      </c>
      <c r="K370" t="str">
        <f>IF(customer[[#This Row],[IsChurned]]=1,"Churned","Active")</f>
        <v>Churned</v>
      </c>
      <c r="L370" t="str">
        <f>TEXT(customer[[#This Row],[SubscriptionDate]],"mmm-yyyy")</f>
        <v>Jun-2023</v>
      </c>
      <c r="M370" s="1">
        <f ca="1">TODAY()-customer[[#This Row],[LastLoginDate]]</f>
        <v>789</v>
      </c>
    </row>
    <row r="371" spans="1:13" x14ac:dyDescent="0.3">
      <c r="A371">
        <v>370</v>
      </c>
      <c r="B371" t="s">
        <v>384</v>
      </c>
      <c r="C371">
        <v>38</v>
      </c>
      <c r="D371" t="s">
        <v>11</v>
      </c>
      <c r="E371" t="s">
        <v>15</v>
      </c>
      <c r="F371" s="1">
        <v>45449</v>
      </c>
      <c r="G371" s="1">
        <v>45505</v>
      </c>
      <c r="H371">
        <v>176</v>
      </c>
      <c r="I371">
        <v>3</v>
      </c>
      <c r="J371">
        <v>1</v>
      </c>
      <c r="K371" t="str">
        <f>IF(customer[[#This Row],[IsChurned]]=1,"Churned","Active")</f>
        <v>Churned</v>
      </c>
      <c r="L371" t="str">
        <f>TEXT(customer[[#This Row],[SubscriptionDate]],"mmm-yyyy")</f>
        <v>Jun-2024</v>
      </c>
      <c r="M371" s="1">
        <f ca="1">TODAY()-customer[[#This Row],[LastLoginDate]]</f>
        <v>538</v>
      </c>
    </row>
    <row r="372" spans="1:13" x14ac:dyDescent="0.3">
      <c r="A372">
        <v>371</v>
      </c>
      <c r="B372" t="s">
        <v>385</v>
      </c>
      <c r="C372">
        <v>63</v>
      </c>
      <c r="D372" t="s">
        <v>14</v>
      </c>
      <c r="E372" t="s">
        <v>18</v>
      </c>
      <c r="F372" s="1">
        <v>44785</v>
      </c>
      <c r="G372" s="1">
        <v>44860</v>
      </c>
      <c r="H372">
        <v>95</v>
      </c>
      <c r="I372">
        <v>3.5</v>
      </c>
      <c r="J372">
        <v>1</v>
      </c>
      <c r="K372" t="str">
        <f>IF(customer[[#This Row],[IsChurned]]=1,"Churned","Active")</f>
        <v>Churned</v>
      </c>
      <c r="L372" t="str">
        <f>TEXT(customer[[#This Row],[SubscriptionDate]],"mmm-yyyy")</f>
        <v>Aug-2022</v>
      </c>
      <c r="M372" s="1">
        <f ca="1">TODAY()-customer[[#This Row],[LastLoginDate]]</f>
        <v>1183</v>
      </c>
    </row>
    <row r="373" spans="1:13" x14ac:dyDescent="0.3">
      <c r="A373">
        <v>372</v>
      </c>
      <c r="B373" t="s">
        <v>386</v>
      </c>
      <c r="C373">
        <v>54</v>
      </c>
      <c r="D373" t="s">
        <v>14</v>
      </c>
      <c r="E373" t="s">
        <v>12</v>
      </c>
      <c r="F373" s="1">
        <v>45435</v>
      </c>
      <c r="G373" s="1">
        <v>45558</v>
      </c>
      <c r="H373">
        <v>488</v>
      </c>
      <c r="I373">
        <v>4.8</v>
      </c>
      <c r="J373">
        <v>1</v>
      </c>
      <c r="K373" t="str">
        <f>IF(customer[[#This Row],[IsChurned]]=1,"Churned","Active")</f>
        <v>Churned</v>
      </c>
      <c r="L373" t="str">
        <f>TEXT(customer[[#This Row],[SubscriptionDate]],"mmm-yyyy")</f>
        <v>May-2024</v>
      </c>
      <c r="M373" s="1">
        <f ca="1">TODAY()-customer[[#This Row],[LastLoginDate]]</f>
        <v>485</v>
      </c>
    </row>
    <row r="374" spans="1:13" x14ac:dyDescent="0.3">
      <c r="A374">
        <v>373</v>
      </c>
      <c r="B374" t="s">
        <v>387</v>
      </c>
      <c r="C374">
        <v>45</v>
      </c>
      <c r="D374" t="s">
        <v>14</v>
      </c>
      <c r="E374" t="s">
        <v>12</v>
      </c>
      <c r="F374" s="1">
        <v>45371</v>
      </c>
      <c r="G374" s="1">
        <v>45546</v>
      </c>
      <c r="H374">
        <v>214</v>
      </c>
      <c r="I374">
        <v>1.2</v>
      </c>
      <c r="J374">
        <v>1</v>
      </c>
      <c r="K374" t="str">
        <f>IF(customer[[#This Row],[IsChurned]]=1,"Churned","Active")</f>
        <v>Churned</v>
      </c>
      <c r="L374" t="str">
        <f>TEXT(customer[[#This Row],[SubscriptionDate]],"mmm-yyyy")</f>
        <v>Mar-2024</v>
      </c>
      <c r="M374" s="1">
        <f ca="1">TODAY()-customer[[#This Row],[LastLoginDate]]</f>
        <v>497</v>
      </c>
    </row>
    <row r="375" spans="1:13" x14ac:dyDescent="0.3">
      <c r="A375">
        <v>374</v>
      </c>
      <c r="B375" t="s">
        <v>388</v>
      </c>
      <c r="C375">
        <v>63</v>
      </c>
      <c r="D375" t="s">
        <v>14</v>
      </c>
      <c r="E375" t="s">
        <v>18</v>
      </c>
      <c r="F375" s="1">
        <v>45073</v>
      </c>
      <c r="G375" s="1">
        <v>45253</v>
      </c>
      <c r="H375">
        <v>14</v>
      </c>
      <c r="I375">
        <v>4.4000000000000004</v>
      </c>
      <c r="J375">
        <v>0</v>
      </c>
      <c r="K375" t="str">
        <f>IF(customer[[#This Row],[IsChurned]]=1,"Churned","Active")</f>
        <v>Active</v>
      </c>
      <c r="L375" t="str">
        <f>TEXT(customer[[#This Row],[SubscriptionDate]],"mmm-yyyy")</f>
        <v>May-2023</v>
      </c>
      <c r="M375" s="1">
        <f ca="1">TODAY()-customer[[#This Row],[LastLoginDate]]</f>
        <v>790</v>
      </c>
    </row>
    <row r="376" spans="1:13" x14ac:dyDescent="0.3">
      <c r="A376">
        <v>375</v>
      </c>
      <c r="B376" t="s">
        <v>389</v>
      </c>
      <c r="C376">
        <v>32</v>
      </c>
      <c r="D376" t="s">
        <v>14</v>
      </c>
      <c r="E376" t="s">
        <v>18</v>
      </c>
      <c r="F376" s="1">
        <v>44816</v>
      </c>
      <c r="G376" s="1">
        <v>44989</v>
      </c>
      <c r="H376">
        <v>30</v>
      </c>
      <c r="I376">
        <v>4.8</v>
      </c>
      <c r="J376">
        <v>1</v>
      </c>
      <c r="K376" t="str">
        <f>IF(customer[[#This Row],[IsChurned]]=1,"Churned","Active")</f>
        <v>Churned</v>
      </c>
      <c r="L376" t="str">
        <f>TEXT(customer[[#This Row],[SubscriptionDate]],"mmm-yyyy")</f>
        <v>Sep-2022</v>
      </c>
      <c r="M376" s="1">
        <f ca="1">TODAY()-customer[[#This Row],[LastLoginDate]]</f>
        <v>1054</v>
      </c>
    </row>
    <row r="377" spans="1:13" x14ac:dyDescent="0.3">
      <c r="A377">
        <v>376</v>
      </c>
      <c r="B377" t="s">
        <v>390</v>
      </c>
      <c r="C377">
        <v>36</v>
      </c>
      <c r="D377" t="s">
        <v>14</v>
      </c>
      <c r="E377" t="s">
        <v>18</v>
      </c>
      <c r="F377" s="1">
        <v>44575</v>
      </c>
      <c r="G377" s="1">
        <v>44592</v>
      </c>
      <c r="H377">
        <v>309</v>
      </c>
      <c r="I377">
        <v>2</v>
      </c>
      <c r="J377">
        <v>1</v>
      </c>
      <c r="K377" t="str">
        <f>IF(customer[[#This Row],[IsChurned]]=1,"Churned","Active")</f>
        <v>Churned</v>
      </c>
      <c r="L377" t="str">
        <f>TEXT(customer[[#This Row],[SubscriptionDate]],"mmm-yyyy")</f>
        <v>Jan-2022</v>
      </c>
      <c r="M377" s="1">
        <f ca="1">TODAY()-customer[[#This Row],[LastLoginDate]]</f>
        <v>1451</v>
      </c>
    </row>
    <row r="378" spans="1:13" x14ac:dyDescent="0.3">
      <c r="A378">
        <v>377</v>
      </c>
      <c r="B378" t="s">
        <v>391</v>
      </c>
      <c r="C378">
        <v>55</v>
      </c>
      <c r="D378" t="s">
        <v>14</v>
      </c>
      <c r="E378" t="s">
        <v>18</v>
      </c>
      <c r="F378" s="1">
        <v>44596</v>
      </c>
      <c r="G378" s="1">
        <v>44738</v>
      </c>
      <c r="H378">
        <v>495</v>
      </c>
      <c r="I378">
        <v>2.8</v>
      </c>
      <c r="J378">
        <v>0</v>
      </c>
      <c r="K378" t="str">
        <f>IF(customer[[#This Row],[IsChurned]]=1,"Churned","Active")</f>
        <v>Active</v>
      </c>
      <c r="L378" t="str">
        <f>TEXT(customer[[#This Row],[SubscriptionDate]],"mmm-yyyy")</f>
        <v>Feb-2022</v>
      </c>
      <c r="M378" s="1">
        <f ca="1">TODAY()-customer[[#This Row],[LastLoginDate]]</f>
        <v>1305</v>
      </c>
    </row>
    <row r="379" spans="1:13" x14ac:dyDescent="0.3">
      <c r="A379">
        <v>378</v>
      </c>
      <c r="B379" t="s">
        <v>392</v>
      </c>
      <c r="C379">
        <v>32</v>
      </c>
      <c r="D379" t="s">
        <v>14</v>
      </c>
      <c r="E379" t="s">
        <v>15</v>
      </c>
      <c r="F379" s="1">
        <v>44896</v>
      </c>
      <c r="G379" s="1">
        <v>45049</v>
      </c>
      <c r="H379">
        <v>459</v>
      </c>
      <c r="I379">
        <v>1.3</v>
      </c>
      <c r="J379">
        <v>0</v>
      </c>
      <c r="K379" t="str">
        <f>IF(customer[[#This Row],[IsChurned]]=1,"Churned","Active")</f>
        <v>Active</v>
      </c>
      <c r="L379" t="str">
        <f>TEXT(customer[[#This Row],[SubscriptionDate]],"mmm-yyyy")</f>
        <v>Dec-2022</v>
      </c>
      <c r="M379" s="1">
        <f ca="1">TODAY()-customer[[#This Row],[LastLoginDate]]</f>
        <v>994</v>
      </c>
    </row>
    <row r="380" spans="1:13" x14ac:dyDescent="0.3">
      <c r="A380">
        <v>379</v>
      </c>
      <c r="B380" t="s">
        <v>393</v>
      </c>
      <c r="C380">
        <v>18</v>
      </c>
      <c r="D380" t="s">
        <v>14</v>
      </c>
      <c r="E380" t="s">
        <v>18</v>
      </c>
      <c r="F380" s="1">
        <v>45055</v>
      </c>
      <c r="G380" s="1">
        <v>45150</v>
      </c>
      <c r="H380">
        <v>36</v>
      </c>
      <c r="I380">
        <v>3.1</v>
      </c>
      <c r="J380">
        <v>1</v>
      </c>
      <c r="K380" t="str">
        <f>IF(customer[[#This Row],[IsChurned]]=1,"Churned","Active")</f>
        <v>Churned</v>
      </c>
      <c r="L380" t="str">
        <f>TEXT(customer[[#This Row],[SubscriptionDate]],"mmm-yyyy")</f>
        <v>May-2023</v>
      </c>
      <c r="M380" s="1">
        <f ca="1">TODAY()-customer[[#This Row],[LastLoginDate]]</f>
        <v>893</v>
      </c>
    </row>
    <row r="381" spans="1:13" x14ac:dyDescent="0.3">
      <c r="A381">
        <v>380</v>
      </c>
      <c r="B381" t="s">
        <v>394</v>
      </c>
      <c r="C381">
        <v>44</v>
      </c>
      <c r="D381" t="s">
        <v>14</v>
      </c>
      <c r="E381" t="s">
        <v>15</v>
      </c>
      <c r="F381" s="1">
        <v>44571</v>
      </c>
      <c r="G381" s="1">
        <v>44876</v>
      </c>
      <c r="H381">
        <v>299</v>
      </c>
      <c r="I381">
        <v>4.8</v>
      </c>
      <c r="J381">
        <v>0</v>
      </c>
      <c r="K381" t="str">
        <f>IF(customer[[#This Row],[IsChurned]]=1,"Churned","Active")</f>
        <v>Active</v>
      </c>
      <c r="L381" t="str">
        <f>TEXT(customer[[#This Row],[SubscriptionDate]],"mmm-yyyy")</f>
        <v>Jan-2022</v>
      </c>
      <c r="M381" s="1">
        <f ca="1">TODAY()-customer[[#This Row],[LastLoginDate]]</f>
        <v>1167</v>
      </c>
    </row>
    <row r="382" spans="1:13" x14ac:dyDescent="0.3">
      <c r="A382">
        <v>381</v>
      </c>
      <c r="B382" t="s">
        <v>395</v>
      </c>
      <c r="C382">
        <v>34</v>
      </c>
      <c r="D382" t="s">
        <v>14</v>
      </c>
      <c r="E382" t="s">
        <v>15</v>
      </c>
      <c r="F382" s="1">
        <v>45001</v>
      </c>
      <c r="G382" s="1">
        <v>45299</v>
      </c>
      <c r="H382">
        <v>376</v>
      </c>
      <c r="I382">
        <v>4.3</v>
      </c>
      <c r="J382">
        <v>1</v>
      </c>
      <c r="K382" t="str">
        <f>IF(customer[[#This Row],[IsChurned]]=1,"Churned","Active")</f>
        <v>Churned</v>
      </c>
      <c r="L382" t="str">
        <f>TEXT(customer[[#This Row],[SubscriptionDate]],"mmm-yyyy")</f>
        <v>Mar-2023</v>
      </c>
      <c r="M382" s="1">
        <f ca="1">TODAY()-customer[[#This Row],[LastLoginDate]]</f>
        <v>744</v>
      </c>
    </row>
    <row r="383" spans="1:13" x14ac:dyDescent="0.3">
      <c r="A383">
        <v>382</v>
      </c>
      <c r="B383" t="s">
        <v>396</v>
      </c>
      <c r="C383">
        <v>21</v>
      </c>
      <c r="D383" t="s">
        <v>11</v>
      </c>
      <c r="E383" t="s">
        <v>18</v>
      </c>
      <c r="F383" s="1">
        <v>45440</v>
      </c>
      <c r="G383" s="1">
        <v>45474</v>
      </c>
      <c r="H383">
        <v>236</v>
      </c>
      <c r="I383">
        <v>2.2999999999999998</v>
      </c>
      <c r="J383">
        <v>0</v>
      </c>
      <c r="K383" t="str">
        <f>IF(customer[[#This Row],[IsChurned]]=1,"Churned","Active")</f>
        <v>Active</v>
      </c>
      <c r="L383" t="str">
        <f>TEXT(customer[[#This Row],[SubscriptionDate]],"mmm-yyyy")</f>
        <v>May-2024</v>
      </c>
      <c r="M383" s="1">
        <f ca="1">TODAY()-customer[[#This Row],[LastLoginDate]]</f>
        <v>569</v>
      </c>
    </row>
    <row r="384" spans="1:13" x14ac:dyDescent="0.3">
      <c r="A384">
        <v>383</v>
      </c>
      <c r="B384" t="s">
        <v>397</v>
      </c>
      <c r="C384">
        <v>54</v>
      </c>
      <c r="D384" t="s">
        <v>14</v>
      </c>
      <c r="E384" t="s">
        <v>15</v>
      </c>
      <c r="F384" s="1">
        <v>44698</v>
      </c>
      <c r="G384" s="1">
        <v>45002</v>
      </c>
      <c r="H384">
        <v>279</v>
      </c>
      <c r="I384">
        <v>1.9</v>
      </c>
      <c r="J384">
        <v>0</v>
      </c>
      <c r="K384" t="str">
        <f>IF(customer[[#This Row],[IsChurned]]=1,"Churned","Active")</f>
        <v>Active</v>
      </c>
      <c r="L384" t="str">
        <f>TEXT(customer[[#This Row],[SubscriptionDate]],"mmm-yyyy")</f>
        <v>May-2022</v>
      </c>
      <c r="M384" s="1">
        <f ca="1">TODAY()-customer[[#This Row],[LastLoginDate]]</f>
        <v>1041</v>
      </c>
    </row>
    <row r="385" spans="1:13" x14ac:dyDescent="0.3">
      <c r="A385">
        <v>384</v>
      </c>
      <c r="B385" t="s">
        <v>398</v>
      </c>
      <c r="C385">
        <v>20</v>
      </c>
      <c r="D385" t="s">
        <v>11</v>
      </c>
      <c r="E385" t="s">
        <v>15</v>
      </c>
      <c r="F385" s="1">
        <v>44941</v>
      </c>
      <c r="G385" s="1">
        <v>45104</v>
      </c>
      <c r="H385">
        <v>274</v>
      </c>
      <c r="I385">
        <v>1.2</v>
      </c>
      <c r="J385">
        <v>0</v>
      </c>
      <c r="K385" t="str">
        <f>IF(customer[[#This Row],[IsChurned]]=1,"Churned","Active")</f>
        <v>Active</v>
      </c>
      <c r="L385" t="str">
        <f>TEXT(customer[[#This Row],[SubscriptionDate]],"mmm-yyyy")</f>
        <v>Jan-2023</v>
      </c>
      <c r="M385" s="1">
        <f ca="1">TODAY()-customer[[#This Row],[LastLoginDate]]</f>
        <v>939</v>
      </c>
    </row>
    <row r="386" spans="1:13" x14ac:dyDescent="0.3">
      <c r="A386">
        <v>385</v>
      </c>
      <c r="B386" t="s">
        <v>399</v>
      </c>
      <c r="C386">
        <v>58</v>
      </c>
      <c r="D386" t="s">
        <v>14</v>
      </c>
      <c r="E386" t="s">
        <v>12</v>
      </c>
      <c r="F386" s="1">
        <v>44566</v>
      </c>
      <c r="G386" s="1">
        <v>44745</v>
      </c>
      <c r="H386">
        <v>290</v>
      </c>
      <c r="I386">
        <v>1.7</v>
      </c>
      <c r="J386">
        <v>1</v>
      </c>
      <c r="K386" t="str">
        <f>IF(customer[[#This Row],[IsChurned]]=1,"Churned","Active")</f>
        <v>Churned</v>
      </c>
      <c r="L386" t="str">
        <f>TEXT(customer[[#This Row],[SubscriptionDate]],"mmm-yyyy")</f>
        <v>Jan-2022</v>
      </c>
      <c r="M386" s="1">
        <f ca="1">TODAY()-customer[[#This Row],[LastLoginDate]]</f>
        <v>1298</v>
      </c>
    </row>
    <row r="387" spans="1:13" x14ac:dyDescent="0.3">
      <c r="A387">
        <v>386</v>
      </c>
      <c r="B387" t="s">
        <v>400</v>
      </c>
      <c r="C387">
        <v>52</v>
      </c>
      <c r="D387" t="s">
        <v>14</v>
      </c>
      <c r="E387" t="s">
        <v>12</v>
      </c>
      <c r="F387" s="1">
        <v>45185</v>
      </c>
      <c r="G387" s="1">
        <v>45362</v>
      </c>
      <c r="H387">
        <v>45</v>
      </c>
      <c r="I387">
        <v>3</v>
      </c>
      <c r="J387">
        <v>1</v>
      </c>
      <c r="K387" t="str">
        <f>IF(customer[[#This Row],[IsChurned]]=1,"Churned","Active")</f>
        <v>Churned</v>
      </c>
      <c r="L387" t="str">
        <f>TEXT(customer[[#This Row],[SubscriptionDate]],"mmm-yyyy")</f>
        <v>Sep-2023</v>
      </c>
      <c r="M387" s="1">
        <f ca="1">TODAY()-customer[[#This Row],[LastLoginDate]]</f>
        <v>681</v>
      </c>
    </row>
    <row r="388" spans="1:13" x14ac:dyDescent="0.3">
      <c r="A388">
        <v>387</v>
      </c>
      <c r="B388" t="s">
        <v>401</v>
      </c>
      <c r="C388">
        <v>18</v>
      </c>
      <c r="D388" t="s">
        <v>14</v>
      </c>
      <c r="E388" t="s">
        <v>12</v>
      </c>
      <c r="F388" s="1">
        <v>44988</v>
      </c>
      <c r="G388" s="1">
        <v>45214</v>
      </c>
      <c r="H388">
        <v>40</v>
      </c>
      <c r="I388">
        <v>2.7</v>
      </c>
      <c r="J388">
        <v>0</v>
      </c>
      <c r="K388" t="str">
        <f>IF(customer[[#This Row],[IsChurned]]=1,"Churned","Active")</f>
        <v>Active</v>
      </c>
      <c r="L388" t="str">
        <f>TEXT(customer[[#This Row],[SubscriptionDate]],"mmm-yyyy")</f>
        <v>Mar-2023</v>
      </c>
      <c r="M388" s="1">
        <f ca="1">TODAY()-customer[[#This Row],[LastLoginDate]]</f>
        <v>829</v>
      </c>
    </row>
    <row r="389" spans="1:13" x14ac:dyDescent="0.3">
      <c r="A389">
        <v>388</v>
      </c>
      <c r="B389" t="s">
        <v>402</v>
      </c>
      <c r="C389">
        <v>54</v>
      </c>
      <c r="D389" t="s">
        <v>14</v>
      </c>
      <c r="E389" t="s">
        <v>12</v>
      </c>
      <c r="F389" s="1">
        <v>45163</v>
      </c>
      <c r="G389" s="1">
        <v>45463</v>
      </c>
      <c r="H389">
        <v>311</v>
      </c>
      <c r="I389">
        <v>3.3</v>
      </c>
      <c r="J389">
        <v>0</v>
      </c>
      <c r="K389" t="str">
        <f>IF(customer[[#This Row],[IsChurned]]=1,"Churned","Active")</f>
        <v>Active</v>
      </c>
      <c r="L389" t="str">
        <f>TEXT(customer[[#This Row],[SubscriptionDate]],"mmm-yyyy")</f>
        <v>Aug-2023</v>
      </c>
      <c r="M389" s="1">
        <f ca="1">TODAY()-customer[[#This Row],[LastLoginDate]]</f>
        <v>580</v>
      </c>
    </row>
    <row r="390" spans="1:13" x14ac:dyDescent="0.3">
      <c r="A390">
        <v>389</v>
      </c>
      <c r="B390" t="s">
        <v>403</v>
      </c>
      <c r="C390">
        <v>46</v>
      </c>
      <c r="D390" t="s">
        <v>14</v>
      </c>
      <c r="E390" t="s">
        <v>12</v>
      </c>
      <c r="F390" s="1">
        <v>45359</v>
      </c>
      <c r="G390" s="1">
        <v>45366</v>
      </c>
      <c r="H390">
        <v>258</v>
      </c>
      <c r="I390">
        <v>3</v>
      </c>
      <c r="J390">
        <v>0</v>
      </c>
      <c r="K390" t="str">
        <f>IF(customer[[#This Row],[IsChurned]]=1,"Churned","Active")</f>
        <v>Active</v>
      </c>
      <c r="L390" t="str">
        <f>TEXT(customer[[#This Row],[SubscriptionDate]],"mmm-yyyy")</f>
        <v>Mar-2024</v>
      </c>
      <c r="M390" s="1">
        <f ca="1">TODAY()-customer[[#This Row],[LastLoginDate]]</f>
        <v>677</v>
      </c>
    </row>
    <row r="391" spans="1:13" x14ac:dyDescent="0.3">
      <c r="A391">
        <v>390</v>
      </c>
      <c r="B391" t="s">
        <v>404</v>
      </c>
      <c r="C391">
        <v>40</v>
      </c>
      <c r="D391" t="s">
        <v>14</v>
      </c>
      <c r="E391" t="s">
        <v>12</v>
      </c>
      <c r="F391" s="1">
        <v>45297</v>
      </c>
      <c r="G391" s="1">
        <v>45313</v>
      </c>
      <c r="H391">
        <v>200</v>
      </c>
      <c r="I391">
        <v>3</v>
      </c>
      <c r="J391">
        <v>0</v>
      </c>
      <c r="K391" t="str">
        <f>IF(customer[[#This Row],[IsChurned]]=1,"Churned","Active")</f>
        <v>Active</v>
      </c>
      <c r="L391" t="str">
        <f>TEXT(customer[[#This Row],[SubscriptionDate]],"mmm-yyyy")</f>
        <v>Jan-2024</v>
      </c>
      <c r="M391" s="1">
        <f ca="1">TODAY()-customer[[#This Row],[LastLoginDate]]</f>
        <v>730</v>
      </c>
    </row>
    <row r="392" spans="1:13" x14ac:dyDescent="0.3">
      <c r="A392">
        <v>391</v>
      </c>
      <c r="B392" t="s">
        <v>405</v>
      </c>
      <c r="C392">
        <v>19</v>
      </c>
      <c r="D392" t="s">
        <v>14</v>
      </c>
      <c r="E392" t="s">
        <v>12</v>
      </c>
      <c r="F392" s="1">
        <v>44569</v>
      </c>
      <c r="G392" s="1">
        <v>44778</v>
      </c>
      <c r="H392">
        <v>450</v>
      </c>
      <c r="I392">
        <v>4.5</v>
      </c>
      <c r="J392">
        <v>1</v>
      </c>
      <c r="K392" t="str">
        <f>IF(customer[[#This Row],[IsChurned]]=1,"Churned","Active")</f>
        <v>Churned</v>
      </c>
      <c r="L392" t="str">
        <f>TEXT(customer[[#This Row],[SubscriptionDate]],"mmm-yyyy")</f>
        <v>Jan-2022</v>
      </c>
      <c r="M392" s="1">
        <f ca="1">TODAY()-customer[[#This Row],[LastLoginDate]]</f>
        <v>1265</v>
      </c>
    </row>
    <row r="393" spans="1:13" x14ac:dyDescent="0.3">
      <c r="A393">
        <v>392</v>
      </c>
      <c r="B393" t="s">
        <v>406</v>
      </c>
      <c r="C393">
        <v>41</v>
      </c>
      <c r="D393" t="s">
        <v>14</v>
      </c>
      <c r="E393" t="s">
        <v>12</v>
      </c>
      <c r="F393" s="1">
        <v>45041</v>
      </c>
      <c r="G393" s="1">
        <v>45199</v>
      </c>
      <c r="H393">
        <v>162</v>
      </c>
      <c r="I393">
        <v>2.8</v>
      </c>
      <c r="J393">
        <v>1</v>
      </c>
      <c r="K393" t="str">
        <f>IF(customer[[#This Row],[IsChurned]]=1,"Churned","Active")</f>
        <v>Churned</v>
      </c>
      <c r="L393" t="str">
        <f>TEXT(customer[[#This Row],[SubscriptionDate]],"mmm-yyyy")</f>
        <v>Apr-2023</v>
      </c>
      <c r="M393" s="1">
        <f ca="1">TODAY()-customer[[#This Row],[LastLoginDate]]</f>
        <v>844</v>
      </c>
    </row>
    <row r="394" spans="1:13" x14ac:dyDescent="0.3">
      <c r="A394">
        <v>393</v>
      </c>
      <c r="B394" t="s">
        <v>407</v>
      </c>
      <c r="C394">
        <v>20</v>
      </c>
      <c r="D394" t="s">
        <v>11</v>
      </c>
      <c r="E394" t="s">
        <v>18</v>
      </c>
      <c r="F394" s="1">
        <v>45368</v>
      </c>
      <c r="G394" s="1">
        <v>45718</v>
      </c>
      <c r="H394">
        <v>484</v>
      </c>
      <c r="I394">
        <v>2.4</v>
      </c>
      <c r="J394">
        <v>1</v>
      </c>
      <c r="K394" t="str">
        <f>IF(customer[[#This Row],[IsChurned]]=1,"Churned","Active")</f>
        <v>Churned</v>
      </c>
      <c r="L394" t="str">
        <f>TEXT(customer[[#This Row],[SubscriptionDate]],"mmm-yyyy")</f>
        <v>Mar-2024</v>
      </c>
      <c r="M394" s="1">
        <f ca="1">TODAY()-customer[[#This Row],[LastLoginDate]]</f>
        <v>325</v>
      </c>
    </row>
    <row r="395" spans="1:13" x14ac:dyDescent="0.3">
      <c r="A395">
        <v>394</v>
      </c>
      <c r="B395" t="s">
        <v>408</v>
      </c>
      <c r="C395">
        <v>60</v>
      </c>
      <c r="D395" t="s">
        <v>11</v>
      </c>
      <c r="E395" t="s">
        <v>18</v>
      </c>
      <c r="F395" s="1">
        <v>44943</v>
      </c>
      <c r="G395" s="1">
        <v>45134</v>
      </c>
      <c r="H395">
        <v>453</v>
      </c>
      <c r="I395">
        <v>1.2</v>
      </c>
      <c r="J395">
        <v>0</v>
      </c>
      <c r="K395" t="str">
        <f>IF(customer[[#This Row],[IsChurned]]=1,"Churned","Active")</f>
        <v>Active</v>
      </c>
      <c r="L395" t="str">
        <f>TEXT(customer[[#This Row],[SubscriptionDate]],"mmm-yyyy")</f>
        <v>Jan-2023</v>
      </c>
      <c r="M395" s="1">
        <f ca="1">TODAY()-customer[[#This Row],[LastLoginDate]]</f>
        <v>909</v>
      </c>
    </row>
    <row r="396" spans="1:13" x14ac:dyDescent="0.3">
      <c r="A396">
        <v>395</v>
      </c>
      <c r="B396" t="s">
        <v>409</v>
      </c>
      <c r="C396">
        <v>55</v>
      </c>
      <c r="D396" t="s">
        <v>14</v>
      </c>
      <c r="E396" t="s">
        <v>15</v>
      </c>
      <c r="F396" s="1">
        <v>45310</v>
      </c>
      <c r="G396" s="1">
        <v>45390</v>
      </c>
      <c r="H396">
        <v>201</v>
      </c>
      <c r="I396">
        <v>4</v>
      </c>
      <c r="J396">
        <v>1</v>
      </c>
      <c r="K396" t="str">
        <f>IF(customer[[#This Row],[IsChurned]]=1,"Churned","Active")</f>
        <v>Churned</v>
      </c>
      <c r="L396" t="str">
        <f>TEXT(customer[[#This Row],[SubscriptionDate]],"mmm-yyyy")</f>
        <v>Jan-2024</v>
      </c>
      <c r="M396" s="1">
        <f ca="1">TODAY()-customer[[#This Row],[LastLoginDate]]</f>
        <v>653</v>
      </c>
    </row>
    <row r="397" spans="1:13" x14ac:dyDescent="0.3">
      <c r="A397">
        <v>396</v>
      </c>
      <c r="B397" t="s">
        <v>410</v>
      </c>
      <c r="C397">
        <v>60</v>
      </c>
      <c r="D397" t="s">
        <v>14</v>
      </c>
      <c r="E397" t="s">
        <v>18</v>
      </c>
      <c r="F397" s="1">
        <v>44721</v>
      </c>
      <c r="G397" s="1">
        <v>44806</v>
      </c>
      <c r="H397">
        <v>394</v>
      </c>
      <c r="I397">
        <v>2.2000000000000002</v>
      </c>
      <c r="J397">
        <v>1</v>
      </c>
      <c r="K397" t="str">
        <f>IF(customer[[#This Row],[IsChurned]]=1,"Churned","Active")</f>
        <v>Churned</v>
      </c>
      <c r="L397" t="str">
        <f>TEXT(customer[[#This Row],[SubscriptionDate]],"mmm-yyyy")</f>
        <v>Jun-2022</v>
      </c>
      <c r="M397" s="1">
        <f ca="1">TODAY()-customer[[#This Row],[LastLoginDate]]</f>
        <v>1237</v>
      </c>
    </row>
    <row r="398" spans="1:13" x14ac:dyDescent="0.3">
      <c r="A398">
        <v>397</v>
      </c>
      <c r="B398" t="s">
        <v>411</v>
      </c>
      <c r="C398">
        <v>36</v>
      </c>
      <c r="D398" t="s">
        <v>11</v>
      </c>
      <c r="E398" t="s">
        <v>12</v>
      </c>
      <c r="F398" s="1">
        <v>44727</v>
      </c>
      <c r="G398" s="1">
        <v>44923</v>
      </c>
      <c r="H398">
        <v>100</v>
      </c>
      <c r="I398">
        <v>4.3</v>
      </c>
      <c r="J398">
        <v>1</v>
      </c>
      <c r="K398" t="str">
        <f>IF(customer[[#This Row],[IsChurned]]=1,"Churned","Active")</f>
        <v>Churned</v>
      </c>
      <c r="L398" t="str">
        <f>TEXT(customer[[#This Row],[SubscriptionDate]],"mmm-yyyy")</f>
        <v>Jun-2022</v>
      </c>
      <c r="M398" s="1">
        <f ca="1">TODAY()-customer[[#This Row],[LastLoginDate]]</f>
        <v>1120</v>
      </c>
    </row>
    <row r="399" spans="1:13" x14ac:dyDescent="0.3">
      <c r="A399">
        <v>398</v>
      </c>
      <c r="B399" t="s">
        <v>412</v>
      </c>
      <c r="C399">
        <v>62</v>
      </c>
      <c r="D399" t="s">
        <v>11</v>
      </c>
      <c r="E399" t="s">
        <v>12</v>
      </c>
      <c r="F399" s="1">
        <v>45447</v>
      </c>
      <c r="G399" s="1">
        <v>45661</v>
      </c>
      <c r="H399">
        <v>420</v>
      </c>
      <c r="I399">
        <v>1.4</v>
      </c>
      <c r="J399">
        <v>1</v>
      </c>
      <c r="K399" t="str">
        <f>IF(customer[[#This Row],[IsChurned]]=1,"Churned","Active")</f>
        <v>Churned</v>
      </c>
      <c r="L399" t="str">
        <f>TEXT(customer[[#This Row],[SubscriptionDate]],"mmm-yyyy")</f>
        <v>Jun-2024</v>
      </c>
      <c r="M399" s="1">
        <f ca="1">TODAY()-customer[[#This Row],[LastLoginDate]]</f>
        <v>382</v>
      </c>
    </row>
    <row r="400" spans="1:13" x14ac:dyDescent="0.3">
      <c r="A400">
        <v>399</v>
      </c>
      <c r="B400" t="s">
        <v>413</v>
      </c>
      <c r="C400">
        <v>64</v>
      </c>
      <c r="D400" t="s">
        <v>11</v>
      </c>
      <c r="E400" t="s">
        <v>18</v>
      </c>
      <c r="F400" s="1">
        <v>44864</v>
      </c>
      <c r="G400" s="1">
        <v>44880</v>
      </c>
      <c r="H400">
        <v>219</v>
      </c>
      <c r="I400">
        <v>1.3</v>
      </c>
      <c r="J400">
        <v>1</v>
      </c>
      <c r="K400" t="str">
        <f>IF(customer[[#This Row],[IsChurned]]=1,"Churned","Active")</f>
        <v>Churned</v>
      </c>
      <c r="L400" t="str">
        <f>TEXT(customer[[#This Row],[SubscriptionDate]],"mmm-yyyy")</f>
        <v>Oct-2022</v>
      </c>
      <c r="M400" s="1">
        <f ca="1">TODAY()-customer[[#This Row],[LastLoginDate]]</f>
        <v>1163</v>
      </c>
    </row>
    <row r="401" spans="1:13" x14ac:dyDescent="0.3">
      <c r="A401">
        <v>400</v>
      </c>
      <c r="B401" t="s">
        <v>414</v>
      </c>
      <c r="C401">
        <v>23</v>
      </c>
      <c r="D401" t="s">
        <v>14</v>
      </c>
      <c r="E401" t="s">
        <v>15</v>
      </c>
      <c r="F401" s="1">
        <v>45244</v>
      </c>
      <c r="G401" s="1">
        <v>45433</v>
      </c>
      <c r="H401">
        <v>483</v>
      </c>
      <c r="I401">
        <v>4.3</v>
      </c>
      <c r="J401">
        <v>0</v>
      </c>
      <c r="K401" t="str">
        <f>IF(customer[[#This Row],[IsChurned]]=1,"Churned","Active")</f>
        <v>Active</v>
      </c>
      <c r="L401" t="str">
        <f>TEXT(customer[[#This Row],[SubscriptionDate]],"mmm-yyyy")</f>
        <v>Nov-2023</v>
      </c>
      <c r="M401" s="1">
        <f ca="1">TODAY()-customer[[#This Row],[LastLoginDate]]</f>
        <v>610</v>
      </c>
    </row>
    <row r="402" spans="1:13" x14ac:dyDescent="0.3">
      <c r="A402">
        <v>401</v>
      </c>
      <c r="B402" t="s">
        <v>415</v>
      </c>
      <c r="C402">
        <v>56</v>
      </c>
      <c r="D402" t="s">
        <v>14</v>
      </c>
      <c r="E402" t="s">
        <v>12</v>
      </c>
      <c r="F402" s="1">
        <v>44982</v>
      </c>
      <c r="G402" s="1">
        <v>45032</v>
      </c>
      <c r="H402">
        <v>268</v>
      </c>
      <c r="I402">
        <v>3.6</v>
      </c>
      <c r="J402">
        <v>1</v>
      </c>
      <c r="K402" t="str">
        <f>IF(customer[[#This Row],[IsChurned]]=1,"Churned","Active")</f>
        <v>Churned</v>
      </c>
      <c r="L402" t="str">
        <f>TEXT(customer[[#This Row],[SubscriptionDate]],"mmm-yyyy")</f>
        <v>Feb-2023</v>
      </c>
      <c r="M402" s="1">
        <f ca="1">TODAY()-customer[[#This Row],[LastLoginDate]]</f>
        <v>1011</v>
      </c>
    </row>
    <row r="403" spans="1:13" x14ac:dyDescent="0.3">
      <c r="A403">
        <v>402</v>
      </c>
      <c r="B403" t="s">
        <v>416</v>
      </c>
      <c r="C403">
        <v>18</v>
      </c>
      <c r="D403" t="s">
        <v>14</v>
      </c>
      <c r="E403" t="s">
        <v>15</v>
      </c>
      <c r="F403" s="1">
        <v>45102</v>
      </c>
      <c r="G403" s="1">
        <v>45202</v>
      </c>
      <c r="H403">
        <v>447</v>
      </c>
      <c r="I403">
        <v>4.0999999999999996</v>
      </c>
      <c r="J403">
        <v>0</v>
      </c>
      <c r="K403" t="str">
        <f>IF(customer[[#This Row],[IsChurned]]=1,"Churned","Active")</f>
        <v>Active</v>
      </c>
      <c r="L403" t="str">
        <f>TEXT(customer[[#This Row],[SubscriptionDate]],"mmm-yyyy")</f>
        <v>Jun-2023</v>
      </c>
      <c r="M403" s="1">
        <f ca="1">TODAY()-customer[[#This Row],[LastLoginDate]]</f>
        <v>841</v>
      </c>
    </row>
    <row r="404" spans="1:13" x14ac:dyDescent="0.3">
      <c r="A404">
        <v>403</v>
      </c>
      <c r="B404" t="s">
        <v>417</v>
      </c>
      <c r="C404">
        <v>30</v>
      </c>
      <c r="D404" t="s">
        <v>14</v>
      </c>
      <c r="E404" t="s">
        <v>12</v>
      </c>
      <c r="F404" s="1">
        <v>44931</v>
      </c>
      <c r="G404" s="1">
        <v>45045</v>
      </c>
      <c r="H404">
        <v>331</v>
      </c>
      <c r="I404">
        <v>4.3</v>
      </c>
      <c r="J404">
        <v>1</v>
      </c>
      <c r="K404" t="str">
        <f>IF(customer[[#This Row],[IsChurned]]=1,"Churned","Active")</f>
        <v>Churned</v>
      </c>
      <c r="L404" t="str">
        <f>TEXT(customer[[#This Row],[SubscriptionDate]],"mmm-yyyy")</f>
        <v>Jan-2023</v>
      </c>
      <c r="M404" s="1">
        <f ca="1">TODAY()-customer[[#This Row],[LastLoginDate]]</f>
        <v>998</v>
      </c>
    </row>
    <row r="405" spans="1:13" x14ac:dyDescent="0.3">
      <c r="A405">
        <v>404</v>
      </c>
      <c r="B405" t="s">
        <v>418</v>
      </c>
      <c r="C405">
        <v>30</v>
      </c>
      <c r="D405" t="s">
        <v>14</v>
      </c>
      <c r="E405" t="s">
        <v>15</v>
      </c>
      <c r="F405" s="1">
        <v>44654</v>
      </c>
      <c r="G405" s="1">
        <v>44944</v>
      </c>
      <c r="H405">
        <v>94</v>
      </c>
      <c r="I405">
        <v>2.1</v>
      </c>
      <c r="J405">
        <v>0</v>
      </c>
      <c r="K405" t="str">
        <f>IF(customer[[#This Row],[IsChurned]]=1,"Churned","Active")</f>
        <v>Active</v>
      </c>
      <c r="L405" t="str">
        <f>TEXT(customer[[#This Row],[SubscriptionDate]],"mmm-yyyy")</f>
        <v>Apr-2022</v>
      </c>
      <c r="M405" s="1">
        <f ca="1">TODAY()-customer[[#This Row],[LastLoginDate]]</f>
        <v>1099</v>
      </c>
    </row>
    <row r="406" spans="1:13" x14ac:dyDescent="0.3">
      <c r="A406">
        <v>405</v>
      </c>
      <c r="B406" t="s">
        <v>419</v>
      </c>
      <c r="C406">
        <v>23</v>
      </c>
      <c r="D406" t="s">
        <v>11</v>
      </c>
      <c r="E406" t="s">
        <v>15</v>
      </c>
      <c r="F406" s="1">
        <v>45346</v>
      </c>
      <c r="G406" s="1">
        <v>45358</v>
      </c>
      <c r="H406">
        <v>356</v>
      </c>
      <c r="I406">
        <v>1.6</v>
      </c>
      <c r="J406">
        <v>1</v>
      </c>
      <c r="K406" t="str">
        <f>IF(customer[[#This Row],[IsChurned]]=1,"Churned","Active")</f>
        <v>Churned</v>
      </c>
      <c r="L406" t="str">
        <f>TEXT(customer[[#This Row],[SubscriptionDate]],"mmm-yyyy")</f>
        <v>Feb-2024</v>
      </c>
      <c r="M406" s="1">
        <f ca="1">TODAY()-customer[[#This Row],[LastLoginDate]]</f>
        <v>685</v>
      </c>
    </row>
    <row r="407" spans="1:13" x14ac:dyDescent="0.3">
      <c r="A407">
        <v>406</v>
      </c>
      <c r="B407" t="s">
        <v>420</v>
      </c>
      <c r="C407">
        <v>62</v>
      </c>
      <c r="D407" t="s">
        <v>14</v>
      </c>
      <c r="E407" t="s">
        <v>18</v>
      </c>
      <c r="F407" s="1">
        <v>45167</v>
      </c>
      <c r="G407" s="1">
        <v>45335</v>
      </c>
      <c r="H407">
        <v>25</v>
      </c>
      <c r="I407">
        <v>2.4</v>
      </c>
      <c r="J407">
        <v>0</v>
      </c>
      <c r="K407" t="str">
        <f>IF(customer[[#This Row],[IsChurned]]=1,"Churned","Active")</f>
        <v>Active</v>
      </c>
      <c r="L407" t="str">
        <f>TEXT(customer[[#This Row],[SubscriptionDate]],"mmm-yyyy")</f>
        <v>Aug-2023</v>
      </c>
      <c r="M407" s="1">
        <f ca="1">TODAY()-customer[[#This Row],[LastLoginDate]]</f>
        <v>708</v>
      </c>
    </row>
    <row r="408" spans="1:13" x14ac:dyDescent="0.3">
      <c r="A408">
        <v>407</v>
      </c>
      <c r="B408" t="s">
        <v>421</v>
      </c>
      <c r="C408">
        <v>64</v>
      </c>
      <c r="D408" t="s">
        <v>11</v>
      </c>
      <c r="E408" t="s">
        <v>12</v>
      </c>
      <c r="F408" s="1">
        <v>44955</v>
      </c>
      <c r="G408" s="1">
        <v>45057</v>
      </c>
      <c r="H408">
        <v>224</v>
      </c>
      <c r="I408">
        <v>3.6</v>
      </c>
      <c r="J408">
        <v>0</v>
      </c>
      <c r="K408" t="str">
        <f>IF(customer[[#This Row],[IsChurned]]=1,"Churned","Active")</f>
        <v>Active</v>
      </c>
      <c r="L408" t="str">
        <f>TEXT(customer[[#This Row],[SubscriptionDate]],"mmm-yyyy")</f>
        <v>Jan-2023</v>
      </c>
      <c r="M408" s="1">
        <f ca="1">TODAY()-customer[[#This Row],[LastLoginDate]]</f>
        <v>986</v>
      </c>
    </row>
    <row r="409" spans="1:13" x14ac:dyDescent="0.3">
      <c r="A409">
        <v>408</v>
      </c>
      <c r="B409" t="s">
        <v>422</v>
      </c>
      <c r="C409">
        <v>58</v>
      </c>
      <c r="D409" t="s">
        <v>14</v>
      </c>
      <c r="E409" t="s">
        <v>12</v>
      </c>
      <c r="F409" s="1">
        <v>44793</v>
      </c>
      <c r="G409" s="1">
        <v>45146</v>
      </c>
      <c r="H409">
        <v>13</v>
      </c>
      <c r="I409">
        <v>2.5</v>
      </c>
      <c r="J409">
        <v>1</v>
      </c>
      <c r="K409" t="str">
        <f>IF(customer[[#This Row],[IsChurned]]=1,"Churned","Active")</f>
        <v>Churned</v>
      </c>
      <c r="L409" t="str">
        <f>TEXT(customer[[#This Row],[SubscriptionDate]],"mmm-yyyy")</f>
        <v>Aug-2022</v>
      </c>
      <c r="M409" s="1">
        <f ca="1">TODAY()-customer[[#This Row],[LastLoginDate]]</f>
        <v>897</v>
      </c>
    </row>
    <row r="410" spans="1:13" x14ac:dyDescent="0.3">
      <c r="A410">
        <v>409</v>
      </c>
      <c r="B410" t="s">
        <v>423</v>
      </c>
      <c r="C410">
        <v>23</v>
      </c>
      <c r="D410" t="s">
        <v>14</v>
      </c>
      <c r="E410" t="s">
        <v>15</v>
      </c>
      <c r="F410" s="1">
        <v>44610</v>
      </c>
      <c r="G410" s="1">
        <v>44959</v>
      </c>
      <c r="H410">
        <v>427</v>
      </c>
      <c r="I410">
        <v>2.7</v>
      </c>
      <c r="J410">
        <v>0</v>
      </c>
      <c r="K410" t="str">
        <f>IF(customer[[#This Row],[IsChurned]]=1,"Churned","Active")</f>
        <v>Active</v>
      </c>
      <c r="L410" t="str">
        <f>TEXT(customer[[#This Row],[SubscriptionDate]],"mmm-yyyy")</f>
        <v>Feb-2022</v>
      </c>
      <c r="M410" s="1">
        <f ca="1">TODAY()-customer[[#This Row],[LastLoginDate]]</f>
        <v>1084</v>
      </c>
    </row>
    <row r="411" spans="1:13" x14ac:dyDescent="0.3">
      <c r="A411">
        <v>410</v>
      </c>
      <c r="B411" t="s">
        <v>424</v>
      </c>
      <c r="C411">
        <v>29</v>
      </c>
      <c r="D411" t="s">
        <v>11</v>
      </c>
      <c r="E411" t="s">
        <v>15</v>
      </c>
      <c r="F411" s="1">
        <v>45445</v>
      </c>
      <c r="G411" s="1">
        <v>45657</v>
      </c>
      <c r="H411">
        <v>185</v>
      </c>
      <c r="I411">
        <v>3.1</v>
      </c>
      <c r="J411">
        <v>0</v>
      </c>
      <c r="K411" t="str">
        <f>IF(customer[[#This Row],[IsChurned]]=1,"Churned","Active")</f>
        <v>Active</v>
      </c>
      <c r="L411" t="str">
        <f>TEXT(customer[[#This Row],[SubscriptionDate]],"mmm-yyyy")</f>
        <v>Jun-2024</v>
      </c>
      <c r="M411" s="1">
        <f ca="1">TODAY()-customer[[#This Row],[LastLoginDate]]</f>
        <v>386</v>
      </c>
    </row>
    <row r="412" spans="1:13" x14ac:dyDescent="0.3">
      <c r="A412">
        <v>411</v>
      </c>
      <c r="B412" t="s">
        <v>425</v>
      </c>
      <c r="C412">
        <v>52</v>
      </c>
      <c r="D412" t="s">
        <v>14</v>
      </c>
      <c r="E412" t="s">
        <v>12</v>
      </c>
      <c r="F412" s="1">
        <v>45398</v>
      </c>
      <c r="G412" s="1">
        <v>45732</v>
      </c>
      <c r="H412">
        <v>261</v>
      </c>
      <c r="I412">
        <v>2.7</v>
      </c>
      <c r="J412">
        <v>0</v>
      </c>
      <c r="K412" t="str">
        <f>IF(customer[[#This Row],[IsChurned]]=1,"Churned","Active")</f>
        <v>Active</v>
      </c>
      <c r="L412" t="str">
        <f>TEXT(customer[[#This Row],[SubscriptionDate]],"mmm-yyyy")</f>
        <v>Apr-2024</v>
      </c>
      <c r="M412" s="1">
        <f ca="1">TODAY()-customer[[#This Row],[LastLoginDate]]</f>
        <v>311</v>
      </c>
    </row>
    <row r="413" spans="1:13" x14ac:dyDescent="0.3">
      <c r="A413">
        <v>412</v>
      </c>
      <c r="B413" t="s">
        <v>426</v>
      </c>
      <c r="C413">
        <v>58</v>
      </c>
      <c r="D413" t="s">
        <v>14</v>
      </c>
      <c r="E413" t="s">
        <v>15</v>
      </c>
      <c r="F413" s="1">
        <v>44601</v>
      </c>
      <c r="G413" s="1">
        <v>44714</v>
      </c>
      <c r="H413">
        <v>122</v>
      </c>
      <c r="I413">
        <v>3.6</v>
      </c>
      <c r="J413">
        <v>1</v>
      </c>
      <c r="K413" t="str">
        <f>IF(customer[[#This Row],[IsChurned]]=1,"Churned","Active")</f>
        <v>Churned</v>
      </c>
      <c r="L413" t="str">
        <f>TEXT(customer[[#This Row],[SubscriptionDate]],"mmm-yyyy")</f>
        <v>Feb-2022</v>
      </c>
      <c r="M413" s="1">
        <f ca="1">TODAY()-customer[[#This Row],[LastLoginDate]]</f>
        <v>1329</v>
      </c>
    </row>
    <row r="414" spans="1:13" x14ac:dyDescent="0.3">
      <c r="A414">
        <v>413</v>
      </c>
      <c r="B414" t="s">
        <v>427</v>
      </c>
      <c r="C414">
        <v>33</v>
      </c>
      <c r="D414" t="s">
        <v>14</v>
      </c>
      <c r="E414" t="s">
        <v>12</v>
      </c>
      <c r="F414" s="1">
        <v>45373</v>
      </c>
      <c r="G414" s="1">
        <v>45455</v>
      </c>
      <c r="H414">
        <v>335</v>
      </c>
      <c r="I414">
        <v>2.9</v>
      </c>
      <c r="J414">
        <v>0</v>
      </c>
      <c r="K414" t="str">
        <f>IF(customer[[#This Row],[IsChurned]]=1,"Churned","Active")</f>
        <v>Active</v>
      </c>
      <c r="L414" t="str">
        <f>TEXT(customer[[#This Row],[SubscriptionDate]],"mmm-yyyy")</f>
        <v>Mar-2024</v>
      </c>
      <c r="M414" s="1">
        <f ca="1">TODAY()-customer[[#This Row],[LastLoginDate]]</f>
        <v>588</v>
      </c>
    </row>
    <row r="415" spans="1:13" x14ac:dyDescent="0.3">
      <c r="A415">
        <v>414</v>
      </c>
      <c r="B415" t="s">
        <v>428</v>
      </c>
      <c r="C415">
        <v>56</v>
      </c>
      <c r="D415" t="s">
        <v>11</v>
      </c>
      <c r="E415" t="s">
        <v>15</v>
      </c>
      <c r="F415" s="1">
        <v>45353</v>
      </c>
      <c r="G415" s="1">
        <v>45367</v>
      </c>
      <c r="H415">
        <v>185</v>
      </c>
      <c r="I415">
        <v>3.4</v>
      </c>
      <c r="J415">
        <v>1</v>
      </c>
      <c r="K415" t="str">
        <f>IF(customer[[#This Row],[IsChurned]]=1,"Churned","Active")</f>
        <v>Churned</v>
      </c>
      <c r="L415" t="str">
        <f>TEXT(customer[[#This Row],[SubscriptionDate]],"mmm-yyyy")</f>
        <v>Mar-2024</v>
      </c>
      <c r="M415" s="1">
        <f ca="1">TODAY()-customer[[#This Row],[LastLoginDate]]</f>
        <v>676</v>
      </c>
    </row>
    <row r="416" spans="1:13" x14ac:dyDescent="0.3">
      <c r="A416">
        <v>415</v>
      </c>
      <c r="B416" t="s">
        <v>429</v>
      </c>
      <c r="C416">
        <v>64</v>
      </c>
      <c r="D416" t="s">
        <v>14</v>
      </c>
      <c r="E416" t="s">
        <v>18</v>
      </c>
      <c r="F416" s="1">
        <v>45099</v>
      </c>
      <c r="G416" s="1">
        <v>45422</v>
      </c>
      <c r="H416">
        <v>71</v>
      </c>
      <c r="I416">
        <v>1.8</v>
      </c>
      <c r="J416">
        <v>0</v>
      </c>
      <c r="K416" t="str">
        <f>IF(customer[[#This Row],[IsChurned]]=1,"Churned","Active")</f>
        <v>Active</v>
      </c>
      <c r="L416" t="str">
        <f>TEXT(customer[[#This Row],[SubscriptionDate]],"mmm-yyyy")</f>
        <v>Jun-2023</v>
      </c>
      <c r="M416" s="1">
        <f ca="1">TODAY()-customer[[#This Row],[LastLoginDate]]</f>
        <v>621</v>
      </c>
    </row>
    <row r="417" spans="1:13" x14ac:dyDescent="0.3">
      <c r="A417">
        <v>416</v>
      </c>
      <c r="B417" t="s">
        <v>430</v>
      </c>
      <c r="C417">
        <v>38</v>
      </c>
      <c r="D417" t="s">
        <v>14</v>
      </c>
      <c r="E417" t="s">
        <v>18</v>
      </c>
      <c r="F417" s="1">
        <v>45108</v>
      </c>
      <c r="G417" s="1">
        <v>45426</v>
      </c>
      <c r="H417">
        <v>231</v>
      </c>
      <c r="I417">
        <v>5</v>
      </c>
      <c r="J417">
        <v>1</v>
      </c>
      <c r="K417" t="str">
        <f>IF(customer[[#This Row],[IsChurned]]=1,"Churned","Active")</f>
        <v>Churned</v>
      </c>
      <c r="L417" t="str">
        <f>TEXT(customer[[#This Row],[SubscriptionDate]],"mmm-yyyy")</f>
        <v>Jul-2023</v>
      </c>
      <c r="M417" s="1">
        <f ca="1">TODAY()-customer[[#This Row],[LastLoginDate]]</f>
        <v>617</v>
      </c>
    </row>
    <row r="418" spans="1:13" x14ac:dyDescent="0.3">
      <c r="A418">
        <v>417</v>
      </c>
      <c r="B418" t="s">
        <v>431</v>
      </c>
      <c r="C418">
        <v>34</v>
      </c>
      <c r="D418" t="s">
        <v>11</v>
      </c>
      <c r="E418" t="s">
        <v>18</v>
      </c>
      <c r="F418" s="1">
        <v>45243</v>
      </c>
      <c r="G418" s="1">
        <v>45504</v>
      </c>
      <c r="H418">
        <v>381</v>
      </c>
      <c r="I418">
        <v>3.7</v>
      </c>
      <c r="J418">
        <v>1</v>
      </c>
      <c r="K418" t="str">
        <f>IF(customer[[#This Row],[IsChurned]]=1,"Churned","Active")</f>
        <v>Churned</v>
      </c>
      <c r="L418" t="str">
        <f>TEXT(customer[[#This Row],[SubscriptionDate]],"mmm-yyyy")</f>
        <v>Nov-2023</v>
      </c>
      <c r="M418" s="1">
        <f ca="1">TODAY()-customer[[#This Row],[LastLoginDate]]</f>
        <v>539</v>
      </c>
    </row>
    <row r="419" spans="1:13" x14ac:dyDescent="0.3">
      <c r="A419">
        <v>418</v>
      </c>
      <c r="B419" t="s">
        <v>432</v>
      </c>
      <c r="C419">
        <v>39</v>
      </c>
      <c r="D419" t="s">
        <v>11</v>
      </c>
      <c r="E419" t="s">
        <v>18</v>
      </c>
      <c r="F419" s="1">
        <v>44876</v>
      </c>
      <c r="G419" s="1">
        <v>45085</v>
      </c>
      <c r="H419">
        <v>116</v>
      </c>
      <c r="I419">
        <v>2.9</v>
      </c>
      <c r="J419">
        <v>1</v>
      </c>
      <c r="K419" t="str">
        <f>IF(customer[[#This Row],[IsChurned]]=1,"Churned","Active")</f>
        <v>Churned</v>
      </c>
      <c r="L419" t="str">
        <f>TEXT(customer[[#This Row],[SubscriptionDate]],"mmm-yyyy")</f>
        <v>Nov-2022</v>
      </c>
      <c r="M419" s="1">
        <f ca="1">TODAY()-customer[[#This Row],[LastLoginDate]]</f>
        <v>958</v>
      </c>
    </row>
    <row r="420" spans="1:13" x14ac:dyDescent="0.3">
      <c r="A420">
        <v>419</v>
      </c>
      <c r="B420" t="s">
        <v>433</v>
      </c>
      <c r="C420">
        <v>26</v>
      </c>
      <c r="D420" t="s">
        <v>11</v>
      </c>
      <c r="E420" t="s">
        <v>12</v>
      </c>
      <c r="F420" s="1">
        <v>44967</v>
      </c>
      <c r="G420" s="1">
        <v>45109</v>
      </c>
      <c r="H420">
        <v>134</v>
      </c>
      <c r="I420">
        <v>2.2000000000000002</v>
      </c>
      <c r="J420">
        <v>1</v>
      </c>
      <c r="K420" t="str">
        <f>IF(customer[[#This Row],[IsChurned]]=1,"Churned","Active")</f>
        <v>Churned</v>
      </c>
      <c r="L420" t="str">
        <f>TEXT(customer[[#This Row],[SubscriptionDate]],"mmm-yyyy")</f>
        <v>Feb-2023</v>
      </c>
      <c r="M420" s="1">
        <f ca="1">TODAY()-customer[[#This Row],[LastLoginDate]]</f>
        <v>934</v>
      </c>
    </row>
    <row r="421" spans="1:13" x14ac:dyDescent="0.3">
      <c r="A421">
        <v>420</v>
      </c>
      <c r="B421" t="s">
        <v>434</v>
      </c>
      <c r="C421">
        <v>51</v>
      </c>
      <c r="D421" t="s">
        <v>14</v>
      </c>
      <c r="E421" t="s">
        <v>15</v>
      </c>
      <c r="F421" s="1">
        <v>45002</v>
      </c>
      <c r="G421" s="1">
        <v>45357</v>
      </c>
      <c r="H421">
        <v>14</v>
      </c>
      <c r="I421">
        <v>4.5999999999999996</v>
      </c>
      <c r="J421">
        <v>0</v>
      </c>
      <c r="K421" t="str">
        <f>IF(customer[[#This Row],[IsChurned]]=1,"Churned","Active")</f>
        <v>Active</v>
      </c>
      <c r="L421" t="str">
        <f>TEXT(customer[[#This Row],[SubscriptionDate]],"mmm-yyyy")</f>
        <v>Mar-2023</v>
      </c>
      <c r="M421" s="1">
        <f ca="1">TODAY()-customer[[#This Row],[LastLoginDate]]</f>
        <v>686</v>
      </c>
    </row>
    <row r="422" spans="1:13" x14ac:dyDescent="0.3">
      <c r="A422">
        <v>421</v>
      </c>
      <c r="B422" t="s">
        <v>435</v>
      </c>
      <c r="C422">
        <v>50</v>
      </c>
      <c r="D422" t="s">
        <v>14</v>
      </c>
      <c r="E422" t="s">
        <v>18</v>
      </c>
      <c r="F422" s="1">
        <v>44786</v>
      </c>
      <c r="G422" s="1">
        <v>44798</v>
      </c>
      <c r="H422">
        <v>77</v>
      </c>
      <c r="I422">
        <v>3.9</v>
      </c>
      <c r="J422">
        <v>0</v>
      </c>
      <c r="K422" t="str">
        <f>IF(customer[[#This Row],[IsChurned]]=1,"Churned","Active")</f>
        <v>Active</v>
      </c>
      <c r="L422" t="str">
        <f>TEXT(customer[[#This Row],[SubscriptionDate]],"mmm-yyyy")</f>
        <v>Aug-2022</v>
      </c>
      <c r="M422" s="1">
        <f ca="1">TODAY()-customer[[#This Row],[LastLoginDate]]</f>
        <v>1245</v>
      </c>
    </row>
    <row r="423" spans="1:13" x14ac:dyDescent="0.3">
      <c r="A423">
        <v>422</v>
      </c>
      <c r="B423" t="s">
        <v>436</v>
      </c>
      <c r="C423">
        <v>45</v>
      </c>
      <c r="D423" t="s">
        <v>11</v>
      </c>
      <c r="E423" t="s">
        <v>15</v>
      </c>
      <c r="F423" s="1">
        <v>44917</v>
      </c>
      <c r="G423" s="1">
        <v>45030</v>
      </c>
      <c r="H423">
        <v>132</v>
      </c>
      <c r="I423">
        <v>3.2</v>
      </c>
      <c r="J423">
        <v>0</v>
      </c>
      <c r="K423" t="str">
        <f>IF(customer[[#This Row],[IsChurned]]=1,"Churned","Active")</f>
        <v>Active</v>
      </c>
      <c r="L423" t="str">
        <f>TEXT(customer[[#This Row],[SubscriptionDate]],"mmm-yyyy")</f>
        <v>Dec-2022</v>
      </c>
      <c r="M423" s="1">
        <f ca="1">TODAY()-customer[[#This Row],[LastLoginDate]]</f>
        <v>1013</v>
      </c>
    </row>
    <row r="424" spans="1:13" x14ac:dyDescent="0.3">
      <c r="A424">
        <v>423</v>
      </c>
      <c r="B424" t="s">
        <v>437</v>
      </c>
      <c r="C424">
        <v>59</v>
      </c>
      <c r="D424" t="s">
        <v>14</v>
      </c>
      <c r="E424" t="s">
        <v>12</v>
      </c>
      <c r="F424" s="1">
        <v>44803</v>
      </c>
      <c r="G424" s="1">
        <v>44810</v>
      </c>
      <c r="H424">
        <v>109</v>
      </c>
      <c r="I424">
        <v>3.9</v>
      </c>
      <c r="J424">
        <v>0</v>
      </c>
      <c r="K424" t="str">
        <f>IF(customer[[#This Row],[IsChurned]]=1,"Churned","Active")</f>
        <v>Active</v>
      </c>
      <c r="L424" t="str">
        <f>TEXT(customer[[#This Row],[SubscriptionDate]],"mmm-yyyy")</f>
        <v>Aug-2022</v>
      </c>
      <c r="M424" s="1">
        <f ca="1">TODAY()-customer[[#This Row],[LastLoginDate]]</f>
        <v>1233</v>
      </c>
    </row>
    <row r="425" spans="1:13" x14ac:dyDescent="0.3">
      <c r="A425">
        <v>424</v>
      </c>
      <c r="B425" t="s">
        <v>438</v>
      </c>
      <c r="C425">
        <v>44</v>
      </c>
      <c r="D425" t="s">
        <v>14</v>
      </c>
      <c r="E425" t="s">
        <v>18</v>
      </c>
      <c r="F425" s="1">
        <v>44890</v>
      </c>
      <c r="G425" s="1">
        <v>45182</v>
      </c>
      <c r="H425">
        <v>420</v>
      </c>
      <c r="I425">
        <v>1.8</v>
      </c>
      <c r="J425">
        <v>0</v>
      </c>
      <c r="K425" t="str">
        <f>IF(customer[[#This Row],[IsChurned]]=1,"Churned","Active")</f>
        <v>Active</v>
      </c>
      <c r="L425" t="str">
        <f>TEXT(customer[[#This Row],[SubscriptionDate]],"mmm-yyyy")</f>
        <v>Nov-2022</v>
      </c>
      <c r="M425" s="1">
        <f ca="1">TODAY()-customer[[#This Row],[LastLoginDate]]</f>
        <v>861</v>
      </c>
    </row>
    <row r="426" spans="1:13" x14ac:dyDescent="0.3">
      <c r="A426">
        <v>425</v>
      </c>
      <c r="B426" t="s">
        <v>439</v>
      </c>
      <c r="C426">
        <v>19</v>
      </c>
      <c r="D426" t="s">
        <v>14</v>
      </c>
      <c r="E426" t="s">
        <v>12</v>
      </c>
      <c r="F426" s="1">
        <v>45352</v>
      </c>
      <c r="G426" s="1">
        <v>45422</v>
      </c>
      <c r="H426">
        <v>170</v>
      </c>
      <c r="I426">
        <v>4.2</v>
      </c>
      <c r="J426">
        <v>1</v>
      </c>
      <c r="K426" t="str">
        <f>IF(customer[[#This Row],[IsChurned]]=1,"Churned","Active")</f>
        <v>Churned</v>
      </c>
      <c r="L426" t="str">
        <f>TEXT(customer[[#This Row],[SubscriptionDate]],"mmm-yyyy")</f>
        <v>Mar-2024</v>
      </c>
      <c r="M426" s="1">
        <f ca="1">TODAY()-customer[[#This Row],[LastLoginDate]]</f>
        <v>621</v>
      </c>
    </row>
    <row r="427" spans="1:13" x14ac:dyDescent="0.3">
      <c r="A427">
        <v>426</v>
      </c>
      <c r="B427" t="s">
        <v>440</v>
      </c>
      <c r="C427">
        <v>51</v>
      </c>
      <c r="D427" t="s">
        <v>11</v>
      </c>
      <c r="E427" t="s">
        <v>12</v>
      </c>
      <c r="F427" s="1">
        <v>44914</v>
      </c>
      <c r="G427" s="1">
        <v>45004</v>
      </c>
      <c r="H427">
        <v>103</v>
      </c>
      <c r="I427">
        <v>2.8</v>
      </c>
      <c r="J427">
        <v>0</v>
      </c>
      <c r="K427" t="str">
        <f>IF(customer[[#This Row],[IsChurned]]=1,"Churned","Active")</f>
        <v>Active</v>
      </c>
      <c r="L427" t="str">
        <f>TEXT(customer[[#This Row],[SubscriptionDate]],"mmm-yyyy")</f>
        <v>Dec-2022</v>
      </c>
      <c r="M427" s="1">
        <f ca="1">TODAY()-customer[[#This Row],[LastLoginDate]]</f>
        <v>1039</v>
      </c>
    </row>
    <row r="428" spans="1:13" x14ac:dyDescent="0.3">
      <c r="A428">
        <v>427</v>
      </c>
      <c r="B428" t="s">
        <v>441</v>
      </c>
      <c r="C428">
        <v>62</v>
      </c>
      <c r="D428" t="s">
        <v>14</v>
      </c>
      <c r="E428" t="s">
        <v>18</v>
      </c>
      <c r="F428" s="1">
        <v>45120</v>
      </c>
      <c r="G428" s="1">
        <v>45231</v>
      </c>
      <c r="H428">
        <v>417</v>
      </c>
      <c r="I428">
        <v>4.2</v>
      </c>
      <c r="J428">
        <v>0</v>
      </c>
      <c r="K428" t="str">
        <f>IF(customer[[#This Row],[IsChurned]]=1,"Churned","Active")</f>
        <v>Active</v>
      </c>
      <c r="L428" t="str">
        <f>TEXT(customer[[#This Row],[SubscriptionDate]],"mmm-yyyy")</f>
        <v>Jul-2023</v>
      </c>
      <c r="M428" s="1">
        <f ca="1">TODAY()-customer[[#This Row],[LastLoginDate]]</f>
        <v>812</v>
      </c>
    </row>
    <row r="429" spans="1:13" x14ac:dyDescent="0.3">
      <c r="A429">
        <v>428</v>
      </c>
      <c r="B429" t="s">
        <v>442</v>
      </c>
      <c r="C429">
        <v>54</v>
      </c>
      <c r="D429" t="s">
        <v>11</v>
      </c>
      <c r="E429" t="s">
        <v>15</v>
      </c>
      <c r="F429" s="1">
        <v>45084</v>
      </c>
      <c r="G429" s="1">
        <v>45384</v>
      </c>
      <c r="H429">
        <v>105</v>
      </c>
      <c r="I429">
        <v>1.4</v>
      </c>
      <c r="J429">
        <v>0</v>
      </c>
      <c r="K429" t="str">
        <f>IF(customer[[#This Row],[IsChurned]]=1,"Churned","Active")</f>
        <v>Active</v>
      </c>
      <c r="L429" t="str">
        <f>TEXT(customer[[#This Row],[SubscriptionDate]],"mmm-yyyy")</f>
        <v>Jun-2023</v>
      </c>
      <c r="M429" s="1">
        <f ca="1">TODAY()-customer[[#This Row],[LastLoginDate]]</f>
        <v>659</v>
      </c>
    </row>
    <row r="430" spans="1:13" x14ac:dyDescent="0.3">
      <c r="A430">
        <v>429</v>
      </c>
      <c r="B430" t="s">
        <v>443</v>
      </c>
      <c r="C430">
        <v>54</v>
      </c>
      <c r="D430" t="s">
        <v>11</v>
      </c>
      <c r="E430" t="s">
        <v>15</v>
      </c>
      <c r="F430" s="1">
        <v>45112</v>
      </c>
      <c r="G430" s="1">
        <v>45337</v>
      </c>
      <c r="H430">
        <v>122</v>
      </c>
      <c r="I430">
        <v>2.9</v>
      </c>
      <c r="J430">
        <v>1</v>
      </c>
      <c r="K430" t="str">
        <f>IF(customer[[#This Row],[IsChurned]]=1,"Churned","Active")</f>
        <v>Churned</v>
      </c>
      <c r="L430" t="str">
        <f>TEXT(customer[[#This Row],[SubscriptionDate]],"mmm-yyyy")</f>
        <v>Jul-2023</v>
      </c>
      <c r="M430" s="1">
        <f ca="1">TODAY()-customer[[#This Row],[LastLoginDate]]</f>
        <v>706</v>
      </c>
    </row>
    <row r="431" spans="1:13" x14ac:dyDescent="0.3">
      <c r="A431">
        <v>430</v>
      </c>
      <c r="B431" t="s">
        <v>444</v>
      </c>
      <c r="C431">
        <v>28</v>
      </c>
      <c r="D431" t="s">
        <v>11</v>
      </c>
      <c r="E431" t="s">
        <v>15</v>
      </c>
      <c r="F431" s="1">
        <v>44733</v>
      </c>
      <c r="G431" s="1">
        <v>45027</v>
      </c>
      <c r="H431">
        <v>423</v>
      </c>
      <c r="I431">
        <v>4.8</v>
      </c>
      <c r="J431">
        <v>0</v>
      </c>
      <c r="K431" t="str">
        <f>IF(customer[[#This Row],[IsChurned]]=1,"Churned","Active")</f>
        <v>Active</v>
      </c>
      <c r="L431" t="str">
        <f>TEXT(customer[[#This Row],[SubscriptionDate]],"mmm-yyyy")</f>
        <v>Jun-2022</v>
      </c>
      <c r="M431" s="1">
        <f ca="1">TODAY()-customer[[#This Row],[LastLoginDate]]</f>
        <v>1016</v>
      </c>
    </row>
    <row r="432" spans="1:13" x14ac:dyDescent="0.3">
      <c r="A432">
        <v>431</v>
      </c>
      <c r="B432" t="s">
        <v>445</v>
      </c>
      <c r="C432">
        <v>26</v>
      </c>
      <c r="D432" t="s">
        <v>11</v>
      </c>
      <c r="E432" t="s">
        <v>12</v>
      </c>
      <c r="F432" s="1">
        <v>44818</v>
      </c>
      <c r="G432" s="1">
        <v>44821</v>
      </c>
      <c r="H432">
        <v>284</v>
      </c>
      <c r="I432">
        <v>1.7</v>
      </c>
      <c r="J432">
        <v>0</v>
      </c>
      <c r="K432" t="str">
        <f>IF(customer[[#This Row],[IsChurned]]=1,"Churned","Active")</f>
        <v>Active</v>
      </c>
      <c r="L432" t="str">
        <f>TEXT(customer[[#This Row],[SubscriptionDate]],"mmm-yyyy")</f>
        <v>Sep-2022</v>
      </c>
      <c r="M432" s="1">
        <f ca="1">TODAY()-customer[[#This Row],[LastLoginDate]]</f>
        <v>1222</v>
      </c>
    </row>
    <row r="433" spans="1:13" x14ac:dyDescent="0.3">
      <c r="A433">
        <v>432</v>
      </c>
      <c r="B433" t="s">
        <v>446</v>
      </c>
      <c r="C433">
        <v>44</v>
      </c>
      <c r="D433" t="s">
        <v>14</v>
      </c>
      <c r="E433" t="s">
        <v>12</v>
      </c>
      <c r="F433" s="1">
        <v>45256</v>
      </c>
      <c r="G433" s="1">
        <v>45321</v>
      </c>
      <c r="H433">
        <v>194</v>
      </c>
      <c r="I433">
        <v>2.6</v>
      </c>
      <c r="J433">
        <v>1</v>
      </c>
      <c r="K433" t="str">
        <f>IF(customer[[#This Row],[IsChurned]]=1,"Churned","Active")</f>
        <v>Churned</v>
      </c>
      <c r="L433" t="str">
        <f>TEXT(customer[[#This Row],[SubscriptionDate]],"mmm-yyyy")</f>
        <v>Nov-2023</v>
      </c>
      <c r="M433" s="1">
        <f ca="1">TODAY()-customer[[#This Row],[LastLoginDate]]</f>
        <v>722</v>
      </c>
    </row>
    <row r="434" spans="1:13" x14ac:dyDescent="0.3">
      <c r="A434">
        <v>433</v>
      </c>
      <c r="B434" t="s">
        <v>447</v>
      </c>
      <c r="C434">
        <v>36</v>
      </c>
      <c r="D434" t="s">
        <v>11</v>
      </c>
      <c r="E434" t="s">
        <v>12</v>
      </c>
      <c r="F434" s="1">
        <v>44880</v>
      </c>
      <c r="G434" s="1">
        <v>45101</v>
      </c>
      <c r="H434">
        <v>18</v>
      </c>
      <c r="I434">
        <v>4.4000000000000004</v>
      </c>
      <c r="J434">
        <v>0</v>
      </c>
      <c r="K434" t="str">
        <f>IF(customer[[#This Row],[IsChurned]]=1,"Churned","Active")</f>
        <v>Active</v>
      </c>
      <c r="L434" t="str">
        <f>TEXT(customer[[#This Row],[SubscriptionDate]],"mmm-yyyy")</f>
        <v>Nov-2022</v>
      </c>
      <c r="M434" s="1">
        <f ca="1">TODAY()-customer[[#This Row],[LastLoginDate]]</f>
        <v>942</v>
      </c>
    </row>
    <row r="435" spans="1:13" x14ac:dyDescent="0.3">
      <c r="A435">
        <v>434</v>
      </c>
      <c r="B435" t="s">
        <v>448</v>
      </c>
      <c r="C435">
        <v>53</v>
      </c>
      <c r="D435" t="s">
        <v>14</v>
      </c>
      <c r="E435" t="s">
        <v>18</v>
      </c>
      <c r="F435" s="1">
        <v>44590</v>
      </c>
      <c r="G435" s="1">
        <v>44949</v>
      </c>
      <c r="H435">
        <v>111</v>
      </c>
      <c r="I435">
        <v>2.7</v>
      </c>
      <c r="J435">
        <v>0</v>
      </c>
      <c r="K435" t="str">
        <f>IF(customer[[#This Row],[IsChurned]]=1,"Churned","Active")</f>
        <v>Active</v>
      </c>
      <c r="L435" t="str">
        <f>TEXT(customer[[#This Row],[SubscriptionDate]],"mmm-yyyy")</f>
        <v>Jan-2022</v>
      </c>
      <c r="M435" s="1">
        <f ca="1">TODAY()-customer[[#This Row],[LastLoginDate]]</f>
        <v>1094</v>
      </c>
    </row>
    <row r="436" spans="1:13" x14ac:dyDescent="0.3">
      <c r="A436">
        <v>435</v>
      </c>
      <c r="B436" t="s">
        <v>449</v>
      </c>
      <c r="C436">
        <v>25</v>
      </c>
      <c r="D436" t="s">
        <v>14</v>
      </c>
      <c r="E436" t="s">
        <v>12</v>
      </c>
      <c r="F436" s="1">
        <v>45347</v>
      </c>
      <c r="G436" s="1">
        <v>45584</v>
      </c>
      <c r="H436">
        <v>276</v>
      </c>
      <c r="I436">
        <v>3.7</v>
      </c>
      <c r="J436">
        <v>1</v>
      </c>
      <c r="K436" t="str">
        <f>IF(customer[[#This Row],[IsChurned]]=1,"Churned","Active")</f>
        <v>Churned</v>
      </c>
      <c r="L436" t="str">
        <f>TEXT(customer[[#This Row],[SubscriptionDate]],"mmm-yyyy")</f>
        <v>Feb-2024</v>
      </c>
      <c r="M436" s="1">
        <f ca="1">TODAY()-customer[[#This Row],[LastLoginDate]]</f>
        <v>459</v>
      </c>
    </row>
    <row r="437" spans="1:13" x14ac:dyDescent="0.3">
      <c r="A437">
        <v>436</v>
      </c>
      <c r="B437" t="s">
        <v>450</v>
      </c>
      <c r="C437">
        <v>63</v>
      </c>
      <c r="D437" t="s">
        <v>14</v>
      </c>
      <c r="E437" t="s">
        <v>15</v>
      </c>
      <c r="F437" s="1">
        <v>45148</v>
      </c>
      <c r="G437" s="1">
        <v>45343</v>
      </c>
      <c r="H437">
        <v>400</v>
      </c>
      <c r="I437">
        <v>1.1000000000000001</v>
      </c>
      <c r="J437">
        <v>0</v>
      </c>
      <c r="K437" t="str">
        <f>IF(customer[[#This Row],[IsChurned]]=1,"Churned","Active")</f>
        <v>Active</v>
      </c>
      <c r="L437" t="str">
        <f>TEXT(customer[[#This Row],[SubscriptionDate]],"mmm-yyyy")</f>
        <v>Aug-2023</v>
      </c>
      <c r="M437" s="1">
        <f ca="1">TODAY()-customer[[#This Row],[LastLoginDate]]</f>
        <v>700</v>
      </c>
    </row>
    <row r="438" spans="1:13" x14ac:dyDescent="0.3">
      <c r="A438">
        <v>437</v>
      </c>
      <c r="B438" t="s">
        <v>451</v>
      </c>
      <c r="C438">
        <v>44</v>
      </c>
      <c r="D438" t="s">
        <v>11</v>
      </c>
      <c r="E438" t="s">
        <v>12</v>
      </c>
      <c r="F438" s="1">
        <v>44918</v>
      </c>
      <c r="G438" s="1">
        <v>45187</v>
      </c>
      <c r="H438">
        <v>189</v>
      </c>
      <c r="I438">
        <v>5</v>
      </c>
      <c r="J438">
        <v>1</v>
      </c>
      <c r="K438" t="str">
        <f>IF(customer[[#This Row],[IsChurned]]=1,"Churned","Active")</f>
        <v>Churned</v>
      </c>
      <c r="L438" t="str">
        <f>TEXT(customer[[#This Row],[SubscriptionDate]],"mmm-yyyy")</f>
        <v>Dec-2022</v>
      </c>
      <c r="M438" s="1">
        <f ca="1">TODAY()-customer[[#This Row],[LastLoginDate]]</f>
        <v>856</v>
      </c>
    </row>
    <row r="439" spans="1:13" x14ac:dyDescent="0.3">
      <c r="A439">
        <v>438</v>
      </c>
      <c r="B439" t="s">
        <v>452</v>
      </c>
      <c r="C439">
        <v>52</v>
      </c>
      <c r="D439" t="s">
        <v>14</v>
      </c>
      <c r="E439" t="s">
        <v>18</v>
      </c>
      <c r="F439" s="1">
        <v>45297</v>
      </c>
      <c r="G439" s="1">
        <v>45432</v>
      </c>
      <c r="H439">
        <v>106</v>
      </c>
      <c r="I439">
        <v>4.5999999999999996</v>
      </c>
      <c r="J439">
        <v>0</v>
      </c>
      <c r="K439" t="str">
        <f>IF(customer[[#This Row],[IsChurned]]=1,"Churned","Active")</f>
        <v>Active</v>
      </c>
      <c r="L439" t="str">
        <f>TEXT(customer[[#This Row],[SubscriptionDate]],"mmm-yyyy")</f>
        <v>Jan-2024</v>
      </c>
      <c r="M439" s="1">
        <f ca="1">TODAY()-customer[[#This Row],[LastLoginDate]]</f>
        <v>611</v>
      </c>
    </row>
    <row r="440" spans="1:13" x14ac:dyDescent="0.3">
      <c r="A440">
        <v>439</v>
      </c>
      <c r="B440" t="s">
        <v>453</v>
      </c>
      <c r="C440">
        <v>22</v>
      </c>
      <c r="D440" t="s">
        <v>14</v>
      </c>
      <c r="E440" t="s">
        <v>12</v>
      </c>
      <c r="F440" s="1">
        <v>44651</v>
      </c>
      <c r="G440" s="1">
        <v>44828</v>
      </c>
      <c r="H440">
        <v>220</v>
      </c>
      <c r="I440">
        <v>1.5</v>
      </c>
      <c r="J440">
        <v>1</v>
      </c>
      <c r="K440" t="str">
        <f>IF(customer[[#This Row],[IsChurned]]=1,"Churned","Active")</f>
        <v>Churned</v>
      </c>
      <c r="L440" t="str">
        <f>TEXT(customer[[#This Row],[SubscriptionDate]],"mmm-yyyy")</f>
        <v>Mar-2022</v>
      </c>
      <c r="M440" s="1">
        <f ca="1">TODAY()-customer[[#This Row],[LastLoginDate]]</f>
        <v>1215</v>
      </c>
    </row>
    <row r="441" spans="1:13" x14ac:dyDescent="0.3">
      <c r="A441">
        <v>440</v>
      </c>
      <c r="B441" t="s">
        <v>454</v>
      </c>
      <c r="C441">
        <v>49</v>
      </c>
      <c r="D441" t="s">
        <v>11</v>
      </c>
      <c r="E441" t="s">
        <v>12</v>
      </c>
      <c r="F441" s="1">
        <v>44745</v>
      </c>
      <c r="G441" s="1">
        <v>44981</v>
      </c>
      <c r="H441">
        <v>176</v>
      </c>
      <c r="I441">
        <v>3.1</v>
      </c>
      <c r="J441">
        <v>0</v>
      </c>
      <c r="K441" t="str">
        <f>IF(customer[[#This Row],[IsChurned]]=1,"Churned","Active")</f>
        <v>Active</v>
      </c>
      <c r="L441" t="str">
        <f>TEXT(customer[[#This Row],[SubscriptionDate]],"mmm-yyyy")</f>
        <v>Jul-2022</v>
      </c>
      <c r="M441" s="1">
        <f ca="1">TODAY()-customer[[#This Row],[LastLoginDate]]</f>
        <v>1062</v>
      </c>
    </row>
    <row r="442" spans="1:13" x14ac:dyDescent="0.3">
      <c r="A442">
        <v>441</v>
      </c>
      <c r="B442" t="s">
        <v>455</v>
      </c>
      <c r="C442">
        <v>36</v>
      </c>
      <c r="D442" t="s">
        <v>14</v>
      </c>
      <c r="E442" t="s">
        <v>12</v>
      </c>
      <c r="F442" s="1">
        <v>45048</v>
      </c>
      <c r="G442" s="1">
        <v>45216</v>
      </c>
      <c r="H442">
        <v>352</v>
      </c>
      <c r="I442">
        <v>1.9</v>
      </c>
      <c r="J442">
        <v>1</v>
      </c>
      <c r="K442" t="str">
        <f>IF(customer[[#This Row],[IsChurned]]=1,"Churned","Active")</f>
        <v>Churned</v>
      </c>
      <c r="L442" t="str">
        <f>TEXT(customer[[#This Row],[SubscriptionDate]],"mmm-yyyy")</f>
        <v>May-2023</v>
      </c>
      <c r="M442" s="1">
        <f ca="1">TODAY()-customer[[#This Row],[LastLoginDate]]</f>
        <v>827</v>
      </c>
    </row>
    <row r="443" spans="1:13" x14ac:dyDescent="0.3">
      <c r="A443">
        <v>442</v>
      </c>
      <c r="B443" t="s">
        <v>456</v>
      </c>
      <c r="C443">
        <v>62</v>
      </c>
      <c r="D443" t="s">
        <v>14</v>
      </c>
      <c r="E443" t="s">
        <v>18</v>
      </c>
      <c r="F443" s="1">
        <v>45432</v>
      </c>
      <c r="G443" s="1">
        <v>45769</v>
      </c>
      <c r="H443">
        <v>382</v>
      </c>
      <c r="I443">
        <v>2.5</v>
      </c>
      <c r="J443">
        <v>0</v>
      </c>
      <c r="K443" t="str">
        <f>IF(customer[[#This Row],[IsChurned]]=1,"Churned","Active")</f>
        <v>Active</v>
      </c>
      <c r="L443" t="str">
        <f>TEXT(customer[[#This Row],[SubscriptionDate]],"mmm-yyyy")</f>
        <v>May-2024</v>
      </c>
      <c r="M443" s="1">
        <f ca="1">TODAY()-customer[[#This Row],[LastLoginDate]]</f>
        <v>274</v>
      </c>
    </row>
    <row r="444" spans="1:13" x14ac:dyDescent="0.3">
      <c r="A444">
        <v>443</v>
      </c>
      <c r="B444" t="s">
        <v>457</v>
      </c>
      <c r="C444">
        <v>55</v>
      </c>
      <c r="D444" t="s">
        <v>11</v>
      </c>
      <c r="E444" t="s">
        <v>12</v>
      </c>
      <c r="F444" s="1">
        <v>45232</v>
      </c>
      <c r="G444" s="1">
        <v>45438</v>
      </c>
      <c r="H444">
        <v>132</v>
      </c>
      <c r="I444">
        <v>1.1000000000000001</v>
      </c>
      <c r="J444">
        <v>0</v>
      </c>
      <c r="K444" t="str">
        <f>IF(customer[[#This Row],[IsChurned]]=1,"Churned","Active")</f>
        <v>Active</v>
      </c>
      <c r="L444" t="str">
        <f>TEXT(customer[[#This Row],[SubscriptionDate]],"mmm-yyyy")</f>
        <v>Nov-2023</v>
      </c>
      <c r="M444" s="1">
        <f ca="1">TODAY()-customer[[#This Row],[LastLoginDate]]</f>
        <v>605</v>
      </c>
    </row>
    <row r="445" spans="1:13" x14ac:dyDescent="0.3">
      <c r="A445">
        <v>444</v>
      </c>
      <c r="B445" t="s">
        <v>458</v>
      </c>
      <c r="C445">
        <v>27</v>
      </c>
      <c r="D445" t="s">
        <v>11</v>
      </c>
      <c r="E445" t="s">
        <v>18</v>
      </c>
      <c r="F445" s="1">
        <v>45155</v>
      </c>
      <c r="G445" s="1">
        <v>45364</v>
      </c>
      <c r="H445">
        <v>331</v>
      </c>
      <c r="I445">
        <v>3.7</v>
      </c>
      <c r="J445">
        <v>1</v>
      </c>
      <c r="K445" t="str">
        <f>IF(customer[[#This Row],[IsChurned]]=1,"Churned","Active")</f>
        <v>Churned</v>
      </c>
      <c r="L445" t="str">
        <f>TEXT(customer[[#This Row],[SubscriptionDate]],"mmm-yyyy")</f>
        <v>Aug-2023</v>
      </c>
      <c r="M445" s="1">
        <f ca="1">TODAY()-customer[[#This Row],[LastLoginDate]]</f>
        <v>679</v>
      </c>
    </row>
    <row r="446" spans="1:13" x14ac:dyDescent="0.3">
      <c r="A446">
        <v>445</v>
      </c>
      <c r="B446" t="s">
        <v>459</v>
      </c>
      <c r="C446">
        <v>22</v>
      </c>
      <c r="D446" t="s">
        <v>14</v>
      </c>
      <c r="E446" t="s">
        <v>15</v>
      </c>
      <c r="F446" s="1">
        <v>45172</v>
      </c>
      <c r="G446" s="1">
        <v>45479</v>
      </c>
      <c r="H446">
        <v>94</v>
      </c>
      <c r="I446">
        <v>2.7</v>
      </c>
      <c r="J446">
        <v>0</v>
      </c>
      <c r="K446" t="str">
        <f>IF(customer[[#This Row],[IsChurned]]=1,"Churned","Active")</f>
        <v>Active</v>
      </c>
      <c r="L446" t="str">
        <f>TEXT(customer[[#This Row],[SubscriptionDate]],"mmm-yyyy")</f>
        <v>Sep-2023</v>
      </c>
      <c r="M446" s="1">
        <f ca="1">TODAY()-customer[[#This Row],[LastLoginDate]]</f>
        <v>564</v>
      </c>
    </row>
    <row r="447" spans="1:13" x14ac:dyDescent="0.3">
      <c r="A447">
        <v>446</v>
      </c>
      <c r="B447" t="s">
        <v>460</v>
      </c>
      <c r="C447">
        <v>23</v>
      </c>
      <c r="D447" t="s">
        <v>14</v>
      </c>
      <c r="E447" t="s">
        <v>12</v>
      </c>
      <c r="F447" s="1">
        <v>45181</v>
      </c>
      <c r="G447" s="1">
        <v>45409</v>
      </c>
      <c r="H447">
        <v>241</v>
      </c>
      <c r="I447">
        <v>1.9</v>
      </c>
      <c r="J447">
        <v>1</v>
      </c>
      <c r="K447" t="str">
        <f>IF(customer[[#This Row],[IsChurned]]=1,"Churned","Active")</f>
        <v>Churned</v>
      </c>
      <c r="L447" t="str">
        <f>TEXT(customer[[#This Row],[SubscriptionDate]],"mmm-yyyy")</f>
        <v>Sep-2023</v>
      </c>
      <c r="M447" s="1">
        <f ca="1">TODAY()-customer[[#This Row],[LastLoginDate]]</f>
        <v>634</v>
      </c>
    </row>
    <row r="448" spans="1:13" x14ac:dyDescent="0.3">
      <c r="A448">
        <v>447</v>
      </c>
      <c r="B448" t="s">
        <v>461</v>
      </c>
      <c r="C448">
        <v>50</v>
      </c>
      <c r="D448" t="s">
        <v>14</v>
      </c>
      <c r="E448" t="s">
        <v>15</v>
      </c>
      <c r="F448" s="1">
        <v>44623</v>
      </c>
      <c r="G448" s="1">
        <v>44953</v>
      </c>
      <c r="H448">
        <v>354</v>
      </c>
      <c r="I448">
        <v>2.2000000000000002</v>
      </c>
      <c r="J448">
        <v>1</v>
      </c>
      <c r="K448" t="str">
        <f>IF(customer[[#This Row],[IsChurned]]=1,"Churned","Active")</f>
        <v>Churned</v>
      </c>
      <c r="L448" t="str">
        <f>TEXT(customer[[#This Row],[SubscriptionDate]],"mmm-yyyy")</f>
        <v>Mar-2022</v>
      </c>
      <c r="M448" s="1">
        <f ca="1">TODAY()-customer[[#This Row],[LastLoginDate]]</f>
        <v>1090</v>
      </c>
    </row>
    <row r="449" spans="1:13" x14ac:dyDescent="0.3">
      <c r="A449">
        <v>448</v>
      </c>
      <c r="B449" t="s">
        <v>462</v>
      </c>
      <c r="C449">
        <v>50</v>
      </c>
      <c r="D449" t="s">
        <v>14</v>
      </c>
      <c r="E449" t="s">
        <v>12</v>
      </c>
      <c r="F449" s="1">
        <v>45297</v>
      </c>
      <c r="G449" s="1">
        <v>45307</v>
      </c>
      <c r="H449">
        <v>13</v>
      </c>
      <c r="I449">
        <v>1.5</v>
      </c>
      <c r="J449">
        <v>0</v>
      </c>
      <c r="K449" t="str">
        <f>IF(customer[[#This Row],[IsChurned]]=1,"Churned","Active")</f>
        <v>Active</v>
      </c>
      <c r="L449" t="str">
        <f>TEXT(customer[[#This Row],[SubscriptionDate]],"mmm-yyyy")</f>
        <v>Jan-2024</v>
      </c>
      <c r="M449" s="1">
        <f ca="1">TODAY()-customer[[#This Row],[LastLoginDate]]</f>
        <v>736</v>
      </c>
    </row>
    <row r="450" spans="1:13" x14ac:dyDescent="0.3">
      <c r="A450">
        <v>449</v>
      </c>
      <c r="B450" t="s">
        <v>463</v>
      </c>
      <c r="C450">
        <v>26</v>
      </c>
      <c r="D450" t="s">
        <v>14</v>
      </c>
      <c r="E450" t="s">
        <v>18</v>
      </c>
      <c r="F450" s="1">
        <v>45314</v>
      </c>
      <c r="G450" s="1">
        <v>45390</v>
      </c>
      <c r="H450">
        <v>230</v>
      </c>
      <c r="I450">
        <v>3.9</v>
      </c>
      <c r="J450">
        <v>1</v>
      </c>
      <c r="K450" t="str">
        <f>IF(customer[[#This Row],[IsChurned]]=1,"Churned","Active")</f>
        <v>Churned</v>
      </c>
      <c r="L450" t="str">
        <f>TEXT(customer[[#This Row],[SubscriptionDate]],"mmm-yyyy")</f>
        <v>Jan-2024</v>
      </c>
      <c r="M450" s="1">
        <f ca="1">TODAY()-customer[[#This Row],[LastLoginDate]]</f>
        <v>653</v>
      </c>
    </row>
    <row r="451" spans="1:13" x14ac:dyDescent="0.3">
      <c r="A451">
        <v>450</v>
      </c>
      <c r="B451" t="s">
        <v>464</v>
      </c>
      <c r="C451">
        <v>30</v>
      </c>
      <c r="D451" t="s">
        <v>11</v>
      </c>
      <c r="E451" t="s">
        <v>12</v>
      </c>
      <c r="F451" s="1">
        <v>44728</v>
      </c>
      <c r="G451" s="1">
        <v>45093</v>
      </c>
      <c r="H451">
        <v>261</v>
      </c>
      <c r="I451">
        <v>2.6</v>
      </c>
      <c r="J451">
        <v>0</v>
      </c>
      <c r="K451" t="str">
        <f>IF(customer[[#This Row],[IsChurned]]=1,"Churned","Active")</f>
        <v>Active</v>
      </c>
      <c r="L451" t="str">
        <f>TEXT(customer[[#This Row],[SubscriptionDate]],"mmm-yyyy")</f>
        <v>Jun-2022</v>
      </c>
      <c r="M451" s="1">
        <f ca="1">TODAY()-customer[[#This Row],[LastLoginDate]]</f>
        <v>950</v>
      </c>
    </row>
    <row r="452" spans="1:13" x14ac:dyDescent="0.3">
      <c r="A452">
        <v>451</v>
      </c>
      <c r="B452" t="s">
        <v>465</v>
      </c>
      <c r="C452">
        <v>59</v>
      </c>
      <c r="D452" t="s">
        <v>14</v>
      </c>
      <c r="E452" t="s">
        <v>15</v>
      </c>
      <c r="F452" s="1">
        <v>44919</v>
      </c>
      <c r="G452" s="1">
        <v>45208</v>
      </c>
      <c r="H452">
        <v>451</v>
      </c>
      <c r="I452">
        <v>3.2</v>
      </c>
      <c r="J452">
        <v>0</v>
      </c>
      <c r="K452" t="str">
        <f>IF(customer[[#This Row],[IsChurned]]=1,"Churned","Active")</f>
        <v>Active</v>
      </c>
      <c r="L452" t="str">
        <f>TEXT(customer[[#This Row],[SubscriptionDate]],"mmm-yyyy")</f>
        <v>Dec-2022</v>
      </c>
      <c r="M452" s="1">
        <f ca="1">TODAY()-customer[[#This Row],[LastLoginDate]]</f>
        <v>835</v>
      </c>
    </row>
    <row r="453" spans="1:13" x14ac:dyDescent="0.3">
      <c r="A453">
        <v>452</v>
      </c>
      <c r="B453" t="s">
        <v>466</v>
      </c>
      <c r="C453">
        <v>26</v>
      </c>
      <c r="D453" t="s">
        <v>14</v>
      </c>
      <c r="E453" t="s">
        <v>15</v>
      </c>
      <c r="F453" s="1">
        <v>45164</v>
      </c>
      <c r="G453" s="1">
        <v>45283</v>
      </c>
      <c r="H453">
        <v>383</v>
      </c>
      <c r="I453">
        <v>3.5</v>
      </c>
      <c r="J453">
        <v>0</v>
      </c>
      <c r="K453" t="str">
        <f>IF(customer[[#This Row],[IsChurned]]=1,"Churned","Active")</f>
        <v>Active</v>
      </c>
      <c r="L453" t="str">
        <f>TEXT(customer[[#This Row],[SubscriptionDate]],"mmm-yyyy")</f>
        <v>Aug-2023</v>
      </c>
      <c r="M453" s="1">
        <f ca="1">TODAY()-customer[[#This Row],[LastLoginDate]]</f>
        <v>760</v>
      </c>
    </row>
    <row r="454" spans="1:13" x14ac:dyDescent="0.3">
      <c r="A454">
        <v>453</v>
      </c>
      <c r="B454" t="s">
        <v>467</v>
      </c>
      <c r="C454">
        <v>60</v>
      </c>
      <c r="D454" t="s">
        <v>11</v>
      </c>
      <c r="E454" t="s">
        <v>12</v>
      </c>
      <c r="F454" s="1">
        <v>45356</v>
      </c>
      <c r="G454" s="1">
        <v>45406</v>
      </c>
      <c r="H454">
        <v>163</v>
      </c>
      <c r="I454">
        <v>3.3</v>
      </c>
      <c r="J454">
        <v>0</v>
      </c>
      <c r="K454" t="str">
        <f>IF(customer[[#This Row],[IsChurned]]=1,"Churned","Active")</f>
        <v>Active</v>
      </c>
      <c r="L454" t="str">
        <f>TEXT(customer[[#This Row],[SubscriptionDate]],"mmm-yyyy")</f>
        <v>Mar-2024</v>
      </c>
      <c r="M454" s="1">
        <f ca="1">TODAY()-customer[[#This Row],[LastLoginDate]]</f>
        <v>637</v>
      </c>
    </row>
    <row r="455" spans="1:13" x14ac:dyDescent="0.3">
      <c r="A455">
        <v>454</v>
      </c>
      <c r="B455" t="s">
        <v>468</v>
      </c>
      <c r="C455">
        <v>38</v>
      </c>
      <c r="D455" t="s">
        <v>14</v>
      </c>
      <c r="E455" t="s">
        <v>12</v>
      </c>
      <c r="F455" s="1">
        <v>44963</v>
      </c>
      <c r="G455" s="1">
        <v>45018</v>
      </c>
      <c r="H455">
        <v>176</v>
      </c>
      <c r="I455">
        <v>4.5999999999999996</v>
      </c>
      <c r="J455">
        <v>0</v>
      </c>
      <c r="K455" t="str">
        <f>IF(customer[[#This Row],[IsChurned]]=1,"Churned","Active")</f>
        <v>Active</v>
      </c>
      <c r="L455" t="str">
        <f>TEXT(customer[[#This Row],[SubscriptionDate]],"mmm-yyyy")</f>
        <v>Feb-2023</v>
      </c>
      <c r="M455" s="1">
        <f ca="1">TODAY()-customer[[#This Row],[LastLoginDate]]</f>
        <v>1025</v>
      </c>
    </row>
    <row r="456" spans="1:13" x14ac:dyDescent="0.3">
      <c r="A456">
        <v>455</v>
      </c>
      <c r="B456" t="s">
        <v>469</v>
      </c>
      <c r="C456">
        <v>47</v>
      </c>
      <c r="D456" t="s">
        <v>14</v>
      </c>
      <c r="E456" t="s">
        <v>18</v>
      </c>
      <c r="F456" s="1">
        <v>44766</v>
      </c>
      <c r="G456" s="1">
        <v>45021</v>
      </c>
      <c r="H456">
        <v>217</v>
      </c>
      <c r="I456">
        <v>1.5</v>
      </c>
      <c r="J456">
        <v>1</v>
      </c>
      <c r="K456" t="str">
        <f>IF(customer[[#This Row],[IsChurned]]=1,"Churned","Active")</f>
        <v>Churned</v>
      </c>
      <c r="L456" t="str">
        <f>TEXT(customer[[#This Row],[SubscriptionDate]],"mmm-yyyy")</f>
        <v>Jul-2022</v>
      </c>
      <c r="M456" s="1">
        <f ca="1">TODAY()-customer[[#This Row],[LastLoginDate]]</f>
        <v>1022</v>
      </c>
    </row>
    <row r="457" spans="1:13" x14ac:dyDescent="0.3">
      <c r="A457">
        <v>456</v>
      </c>
      <c r="B457" t="s">
        <v>470</v>
      </c>
      <c r="C457">
        <v>41</v>
      </c>
      <c r="D457" t="s">
        <v>14</v>
      </c>
      <c r="E457" t="s">
        <v>18</v>
      </c>
      <c r="F457" s="1">
        <v>44625</v>
      </c>
      <c r="G457" s="1">
        <v>44869</v>
      </c>
      <c r="H457">
        <v>64</v>
      </c>
      <c r="I457">
        <v>2.6</v>
      </c>
      <c r="J457">
        <v>0</v>
      </c>
      <c r="K457" t="str">
        <f>IF(customer[[#This Row],[IsChurned]]=1,"Churned","Active")</f>
        <v>Active</v>
      </c>
      <c r="L457" t="str">
        <f>TEXT(customer[[#This Row],[SubscriptionDate]],"mmm-yyyy")</f>
        <v>Mar-2022</v>
      </c>
      <c r="M457" s="1">
        <f ca="1">TODAY()-customer[[#This Row],[LastLoginDate]]</f>
        <v>1174</v>
      </c>
    </row>
    <row r="458" spans="1:13" x14ac:dyDescent="0.3">
      <c r="A458">
        <v>457</v>
      </c>
      <c r="B458" t="s">
        <v>471</v>
      </c>
      <c r="C458">
        <v>34</v>
      </c>
      <c r="D458" t="s">
        <v>11</v>
      </c>
      <c r="E458" t="s">
        <v>18</v>
      </c>
      <c r="F458" s="1">
        <v>45134</v>
      </c>
      <c r="G458" s="1">
        <v>45267</v>
      </c>
      <c r="H458">
        <v>193</v>
      </c>
      <c r="I458">
        <v>1.2</v>
      </c>
      <c r="J458">
        <v>0</v>
      </c>
      <c r="K458" t="str">
        <f>IF(customer[[#This Row],[IsChurned]]=1,"Churned","Active")</f>
        <v>Active</v>
      </c>
      <c r="L458" t="str">
        <f>TEXT(customer[[#This Row],[SubscriptionDate]],"mmm-yyyy")</f>
        <v>Jul-2023</v>
      </c>
      <c r="M458" s="1">
        <f ca="1">TODAY()-customer[[#This Row],[LastLoginDate]]</f>
        <v>776</v>
      </c>
    </row>
    <row r="459" spans="1:13" x14ac:dyDescent="0.3">
      <c r="A459">
        <v>458</v>
      </c>
      <c r="B459" t="s">
        <v>472</v>
      </c>
      <c r="C459">
        <v>20</v>
      </c>
      <c r="D459" t="s">
        <v>14</v>
      </c>
      <c r="E459" t="s">
        <v>12</v>
      </c>
      <c r="F459" s="1">
        <v>44564</v>
      </c>
      <c r="G459" s="1">
        <v>44792</v>
      </c>
      <c r="H459">
        <v>68</v>
      </c>
      <c r="I459">
        <v>2.1</v>
      </c>
      <c r="J459">
        <v>0</v>
      </c>
      <c r="K459" t="str">
        <f>IF(customer[[#This Row],[IsChurned]]=1,"Churned","Active")</f>
        <v>Active</v>
      </c>
      <c r="L459" t="str">
        <f>TEXT(customer[[#This Row],[SubscriptionDate]],"mmm-yyyy")</f>
        <v>Jan-2022</v>
      </c>
      <c r="M459" s="1">
        <f ca="1">TODAY()-customer[[#This Row],[LastLoginDate]]</f>
        <v>1251</v>
      </c>
    </row>
    <row r="460" spans="1:13" x14ac:dyDescent="0.3">
      <c r="A460">
        <v>459</v>
      </c>
      <c r="B460" t="s">
        <v>473</v>
      </c>
      <c r="C460">
        <v>36</v>
      </c>
      <c r="D460" t="s">
        <v>14</v>
      </c>
      <c r="E460" t="s">
        <v>18</v>
      </c>
      <c r="F460" s="1">
        <v>44655</v>
      </c>
      <c r="G460" s="1">
        <v>44737</v>
      </c>
      <c r="H460">
        <v>282</v>
      </c>
      <c r="I460">
        <v>1.5</v>
      </c>
      <c r="J460">
        <v>1</v>
      </c>
      <c r="K460" t="str">
        <f>IF(customer[[#This Row],[IsChurned]]=1,"Churned","Active")</f>
        <v>Churned</v>
      </c>
      <c r="L460" t="str">
        <f>TEXT(customer[[#This Row],[SubscriptionDate]],"mmm-yyyy")</f>
        <v>Apr-2022</v>
      </c>
      <c r="M460" s="1">
        <f ca="1">TODAY()-customer[[#This Row],[LastLoginDate]]</f>
        <v>1306</v>
      </c>
    </row>
    <row r="461" spans="1:13" x14ac:dyDescent="0.3">
      <c r="A461">
        <v>460</v>
      </c>
      <c r="B461" t="s">
        <v>474</v>
      </c>
      <c r="C461">
        <v>41</v>
      </c>
      <c r="D461" t="s">
        <v>14</v>
      </c>
      <c r="E461" t="s">
        <v>15</v>
      </c>
      <c r="F461" s="1">
        <v>44743</v>
      </c>
      <c r="G461" s="1">
        <v>44808</v>
      </c>
      <c r="H461">
        <v>3</v>
      </c>
      <c r="I461">
        <v>1.5</v>
      </c>
      <c r="J461">
        <v>0</v>
      </c>
      <c r="K461" t="str">
        <f>IF(customer[[#This Row],[IsChurned]]=1,"Churned","Active")</f>
        <v>Active</v>
      </c>
      <c r="L461" t="str">
        <f>TEXT(customer[[#This Row],[SubscriptionDate]],"mmm-yyyy")</f>
        <v>Jul-2022</v>
      </c>
      <c r="M461" s="1">
        <f ca="1">TODAY()-customer[[#This Row],[LastLoginDate]]</f>
        <v>1235</v>
      </c>
    </row>
    <row r="462" spans="1:13" x14ac:dyDescent="0.3">
      <c r="A462">
        <v>461</v>
      </c>
      <c r="B462" t="s">
        <v>475</v>
      </c>
      <c r="C462">
        <v>35</v>
      </c>
      <c r="D462" t="s">
        <v>11</v>
      </c>
      <c r="E462" t="s">
        <v>12</v>
      </c>
      <c r="F462" s="1">
        <v>44610</v>
      </c>
      <c r="G462" s="1">
        <v>44963</v>
      </c>
      <c r="H462">
        <v>120</v>
      </c>
      <c r="I462">
        <v>2.2000000000000002</v>
      </c>
      <c r="J462">
        <v>0</v>
      </c>
      <c r="K462" t="str">
        <f>IF(customer[[#This Row],[IsChurned]]=1,"Churned","Active")</f>
        <v>Active</v>
      </c>
      <c r="L462" t="str">
        <f>TEXT(customer[[#This Row],[SubscriptionDate]],"mmm-yyyy")</f>
        <v>Feb-2022</v>
      </c>
      <c r="M462" s="1">
        <f ca="1">TODAY()-customer[[#This Row],[LastLoginDate]]</f>
        <v>1080</v>
      </c>
    </row>
    <row r="463" spans="1:13" x14ac:dyDescent="0.3">
      <c r="A463">
        <v>462</v>
      </c>
      <c r="B463" t="s">
        <v>476</v>
      </c>
      <c r="C463">
        <v>24</v>
      </c>
      <c r="D463" t="s">
        <v>14</v>
      </c>
      <c r="E463" t="s">
        <v>18</v>
      </c>
      <c r="F463" s="1">
        <v>45076</v>
      </c>
      <c r="G463" s="1">
        <v>45172</v>
      </c>
      <c r="H463">
        <v>275</v>
      </c>
      <c r="I463">
        <v>3.5</v>
      </c>
      <c r="J463">
        <v>0</v>
      </c>
      <c r="K463" t="str">
        <f>IF(customer[[#This Row],[IsChurned]]=1,"Churned","Active")</f>
        <v>Active</v>
      </c>
      <c r="L463" t="str">
        <f>TEXT(customer[[#This Row],[SubscriptionDate]],"mmm-yyyy")</f>
        <v>May-2023</v>
      </c>
      <c r="M463" s="1">
        <f ca="1">TODAY()-customer[[#This Row],[LastLoginDate]]</f>
        <v>871</v>
      </c>
    </row>
    <row r="464" spans="1:13" x14ac:dyDescent="0.3">
      <c r="A464">
        <v>463</v>
      </c>
      <c r="B464" t="s">
        <v>477</v>
      </c>
      <c r="C464">
        <v>64</v>
      </c>
      <c r="D464" t="s">
        <v>11</v>
      </c>
      <c r="E464" t="s">
        <v>18</v>
      </c>
      <c r="F464" s="1">
        <v>45188</v>
      </c>
      <c r="G464" s="1">
        <v>45406</v>
      </c>
      <c r="H464">
        <v>208</v>
      </c>
      <c r="I464">
        <v>4.4000000000000004</v>
      </c>
      <c r="J464">
        <v>0</v>
      </c>
      <c r="K464" t="str">
        <f>IF(customer[[#This Row],[IsChurned]]=1,"Churned","Active")</f>
        <v>Active</v>
      </c>
      <c r="L464" t="str">
        <f>TEXT(customer[[#This Row],[SubscriptionDate]],"mmm-yyyy")</f>
        <v>Sep-2023</v>
      </c>
      <c r="M464" s="1">
        <f ca="1">TODAY()-customer[[#This Row],[LastLoginDate]]</f>
        <v>637</v>
      </c>
    </row>
    <row r="465" spans="1:13" x14ac:dyDescent="0.3">
      <c r="A465">
        <v>464</v>
      </c>
      <c r="B465" t="s">
        <v>478</v>
      </c>
      <c r="C465">
        <v>47</v>
      </c>
      <c r="D465" t="s">
        <v>14</v>
      </c>
      <c r="E465" t="s">
        <v>18</v>
      </c>
      <c r="F465" s="1">
        <v>44873</v>
      </c>
      <c r="G465" s="1">
        <v>45181</v>
      </c>
      <c r="H465">
        <v>66</v>
      </c>
      <c r="I465">
        <v>1.2</v>
      </c>
      <c r="J465">
        <v>1</v>
      </c>
      <c r="K465" t="str">
        <f>IF(customer[[#This Row],[IsChurned]]=1,"Churned","Active")</f>
        <v>Churned</v>
      </c>
      <c r="L465" t="str">
        <f>TEXT(customer[[#This Row],[SubscriptionDate]],"mmm-yyyy")</f>
        <v>Nov-2022</v>
      </c>
      <c r="M465" s="1">
        <f ca="1">TODAY()-customer[[#This Row],[LastLoginDate]]</f>
        <v>862</v>
      </c>
    </row>
    <row r="466" spans="1:13" x14ac:dyDescent="0.3">
      <c r="A466">
        <v>465</v>
      </c>
      <c r="B466" t="s">
        <v>479</v>
      </c>
      <c r="C466">
        <v>54</v>
      </c>
      <c r="D466" t="s">
        <v>14</v>
      </c>
      <c r="E466" t="s">
        <v>18</v>
      </c>
      <c r="F466" s="1">
        <v>44582</v>
      </c>
      <c r="G466" s="1">
        <v>44735</v>
      </c>
      <c r="H466">
        <v>43</v>
      </c>
      <c r="I466">
        <v>1.6</v>
      </c>
      <c r="J466">
        <v>0</v>
      </c>
      <c r="K466" t="str">
        <f>IF(customer[[#This Row],[IsChurned]]=1,"Churned","Active")</f>
        <v>Active</v>
      </c>
      <c r="L466" t="str">
        <f>TEXT(customer[[#This Row],[SubscriptionDate]],"mmm-yyyy")</f>
        <v>Jan-2022</v>
      </c>
      <c r="M466" s="1">
        <f ca="1">TODAY()-customer[[#This Row],[LastLoginDate]]</f>
        <v>1308</v>
      </c>
    </row>
    <row r="467" spans="1:13" x14ac:dyDescent="0.3">
      <c r="A467">
        <v>466</v>
      </c>
      <c r="B467" t="s">
        <v>480</v>
      </c>
      <c r="C467">
        <v>45</v>
      </c>
      <c r="D467" t="s">
        <v>14</v>
      </c>
      <c r="E467" t="s">
        <v>12</v>
      </c>
      <c r="F467" s="1">
        <v>45359</v>
      </c>
      <c r="G467" s="1">
        <v>45422</v>
      </c>
      <c r="H467">
        <v>399</v>
      </c>
      <c r="I467">
        <v>4.5999999999999996</v>
      </c>
      <c r="J467">
        <v>1</v>
      </c>
      <c r="K467" t="str">
        <f>IF(customer[[#This Row],[IsChurned]]=1,"Churned","Active")</f>
        <v>Churned</v>
      </c>
      <c r="L467" t="str">
        <f>TEXT(customer[[#This Row],[SubscriptionDate]],"mmm-yyyy")</f>
        <v>Mar-2024</v>
      </c>
      <c r="M467" s="1">
        <f ca="1">TODAY()-customer[[#This Row],[LastLoginDate]]</f>
        <v>621</v>
      </c>
    </row>
    <row r="468" spans="1:13" x14ac:dyDescent="0.3">
      <c r="A468">
        <v>467</v>
      </c>
      <c r="B468" t="s">
        <v>481</v>
      </c>
      <c r="C468">
        <v>27</v>
      </c>
      <c r="D468" t="s">
        <v>11</v>
      </c>
      <c r="E468" t="s">
        <v>18</v>
      </c>
      <c r="F468" s="1">
        <v>44800</v>
      </c>
      <c r="G468" s="1">
        <v>44939</v>
      </c>
      <c r="H468">
        <v>291</v>
      </c>
      <c r="I468">
        <v>2.2999999999999998</v>
      </c>
      <c r="J468">
        <v>0</v>
      </c>
      <c r="K468" t="str">
        <f>IF(customer[[#This Row],[IsChurned]]=1,"Churned","Active")</f>
        <v>Active</v>
      </c>
      <c r="L468" t="str">
        <f>TEXT(customer[[#This Row],[SubscriptionDate]],"mmm-yyyy")</f>
        <v>Aug-2022</v>
      </c>
      <c r="M468" s="1">
        <f ca="1">TODAY()-customer[[#This Row],[LastLoginDate]]</f>
        <v>1104</v>
      </c>
    </row>
    <row r="469" spans="1:13" x14ac:dyDescent="0.3">
      <c r="A469">
        <v>468</v>
      </c>
      <c r="B469" t="s">
        <v>482</v>
      </c>
      <c r="C469">
        <v>29</v>
      </c>
      <c r="D469" t="s">
        <v>14</v>
      </c>
      <c r="E469" t="s">
        <v>15</v>
      </c>
      <c r="F469" s="1">
        <v>45185</v>
      </c>
      <c r="G469" s="1">
        <v>45482</v>
      </c>
      <c r="H469">
        <v>459</v>
      </c>
      <c r="I469">
        <v>2.2999999999999998</v>
      </c>
      <c r="J469">
        <v>1</v>
      </c>
      <c r="K469" t="str">
        <f>IF(customer[[#This Row],[IsChurned]]=1,"Churned","Active")</f>
        <v>Churned</v>
      </c>
      <c r="L469" t="str">
        <f>TEXT(customer[[#This Row],[SubscriptionDate]],"mmm-yyyy")</f>
        <v>Sep-2023</v>
      </c>
      <c r="M469" s="1">
        <f ca="1">TODAY()-customer[[#This Row],[LastLoginDate]]</f>
        <v>561</v>
      </c>
    </row>
    <row r="470" spans="1:13" x14ac:dyDescent="0.3">
      <c r="A470">
        <v>469</v>
      </c>
      <c r="B470" t="s">
        <v>483</v>
      </c>
      <c r="C470">
        <v>35</v>
      </c>
      <c r="D470" t="s">
        <v>14</v>
      </c>
      <c r="E470" t="s">
        <v>12</v>
      </c>
      <c r="F470" s="1">
        <v>44812</v>
      </c>
      <c r="G470" s="1">
        <v>45113</v>
      </c>
      <c r="H470">
        <v>335</v>
      </c>
      <c r="I470">
        <v>2.6</v>
      </c>
      <c r="J470">
        <v>0</v>
      </c>
      <c r="K470" t="str">
        <f>IF(customer[[#This Row],[IsChurned]]=1,"Churned","Active")</f>
        <v>Active</v>
      </c>
      <c r="L470" t="str">
        <f>TEXT(customer[[#This Row],[SubscriptionDate]],"mmm-yyyy")</f>
        <v>Sep-2022</v>
      </c>
      <c r="M470" s="1">
        <f ca="1">TODAY()-customer[[#This Row],[LastLoginDate]]</f>
        <v>930</v>
      </c>
    </row>
    <row r="471" spans="1:13" x14ac:dyDescent="0.3">
      <c r="A471">
        <v>470</v>
      </c>
      <c r="B471" t="s">
        <v>484</v>
      </c>
      <c r="C471">
        <v>40</v>
      </c>
      <c r="D471" t="s">
        <v>11</v>
      </c>
      <c r="E471" t="s">
        <v>18</v>
      </c>
      <c r="F471" s="1">
        <v>45288</v>
      </c>
      <c r="G471" s="1">
        <v>45465</v>
      </c>
      <c r="H471">
        <v>177</v>
      </c>
      <c r="I471">
        <v>3.7</v>
      </c>
      <c r="J471">
        <v>1</v>
      </c>
      <c r="K471" t="str">
        <f>IF(customer[[#This Row],[IsChurned]]=1,"Churned","Active")</f>
        <v>Churned</v>
      </c>
      <c r="L471" t="str">
        <f>TEXT(customer[[#This Row],[SubscriptionDate]],"mmm-yyyy")</f>
        <v>Dec-2023</v>
      </c>
      <c r="M471" s="1">
        <f ca="1">TODAY()-customer[[#This Row],[LastLoginDate]]</f>
        <v>578</v>
      </c>
    </row>
    <row r="472" spans="1:13" x14ac:dyDescent="0.3">
      <c r="A472">
        <v>471</v>
      </c>
      <c r="B472" t="s">
        <v>485</v>
      </c>
      <c r="C472">
        <v>58</v>
      </c>
      <c r="D472" t="s">
        <v>11</v>
      </c>
      <c r="E472" t="s">
        <v>18</v>
      </c>
      <c r="F472" s="1">
        <v>45127</v>
      </c>
      <c r="G472" s="1">
        <v>45191</v>
      </c>
      <c r="H472">
        <v>365</v>
      </c>
      <c r="I472">
        <v>3.3</v>
      </c>
      <c r="J472">
        <v>1</v>
      </c>
      <c r="K472" t="str">
        <f>IF(customer[[#This Row],[IsChurned]]=1,"Churned","Active")</f>
        <v>Churned</v>
      </c>
      <c r="L472" t="str">
        <f>TEXT(customer[[#This Row],[SubscriptionDate]],"mmm-yyyy")</f>
        <v>Jul-2023</v>
      </c>
      <c r="M472" s="1">
        <f ca="1">TODAY()-customer[[#This Row],[LastLoginDate]]</f>
        <v>852</v>
      </c>
    </row>
    <row r="473" spans="1:13" x14ac:dyDescent="0.3">
      <c r="A473">
        <v>472</v>
      </c>
      <c r="B473" t="s">
        <v>486</v>
      </c>
      <c r="C473">
        <v>49</v>
      </c>
      <c r="D473" t="s">
        <v>14</v>
      </c>
      <c r="E473" t="s">
        <v>12</v>
      </c>
      <c r="F473" s="1">
        <v>44669</v>
      </c>
      <c r="G473" s="1">
        <v>44854</v>
      </c>
      <c r="H473">
        <v>442</v>
      </c>
      <c r="I473">
        <v>4.8</v>
      </c>
      <c r="J473">
        <v>1</v>
      </c>
      <c r="K473" t="str">
        <f>IF(customer[[#This Row],[IsChurned]]=1,"Churned","Active")</f>
        <v>Churned</v>
      </c>
      <c r="L473" t="str">
        <f>TEXT(customer[[#This Row],[SubscriptionDate]],"mmm-yyyy")</f>
        <v>Apr-2022</v>
      </c>
      <c r="M473" s="1">
        <f ca="1">TODAY()-customer[[#This Row],[LastLoginDate]]</f>
        <v>1189</v>
      </c>
    </row>
    <row r="474" spans="1:13" x14ac:dyDescent="0.3">
      <c r="A474">
        <v>473</v>
      </c>
      <c r="B474" t="s">
        <v>487</v>
      </c>
      <c r="C474">
        <v>48</v>
      </c>
      <c r="D474" t="s">
        <v>14</v>
      </c>
      <c r="E474" t="s">
        <v>18</v>
      </c>
      <c r="F474" s="1">
        <v>45060</v>
      </c>
      <c r="G474" s="1">
        <v>45390</v>
      </c>
      <c r="H474">
        <v>280</v>
      </c>
      <c r="I474">
        <v>1.2</v>
      </c>
      <c r="J474">
        <v>1</v>
      </c>
      <c r="K474" t="str">
        <f>IF(customer[[#This Row],[IsChurned]]=1,"Churned","Active")</f>
        <v>Churned</v>
      </c>
      <c r="L474" t="str">
        <f>TEXT(customer[[#This Row],[SubscriptionDate]],"mmm-yyyy")</f>
        <v>May-2023</v>
      </c>
      <c r="M474" s="1">
        <f ca="1">TODAY()-customer[[#This Row],[LastLoginDate]]</f>
        <v>653</v>
      </c>
    </row>
    <row r="475" spans="1:13" x14ac:dyDescent="0.3">
      <c r="A475">
        <v>474</v>
      </c>
      <c r="B475" t="s">
        <v>488</v>
      </c>
      <c r="C475">
        <v>51</v>
      </c>
      <c r="D475" t="s">
        <v>11</v>
      </c>
      <c r="E475" t="s">
        <v>18</v>
      </c>
      <c r="F475" s="1">
        <v>44729</v>
      </c>
      <c r="G475" s="1">
        <v>44839</v>
      </c>
      <c r="H475">
        <v>316</v>
      </c>
      <c r="I475">
        <v>3</v>
      </c>
      <c r="J475">
        <v>0</v>
      </c>
      <c r="K475" t="str">
        <f>IF(customer[[#This Row],[IsChurned]]=1,"Churned","Active")</f>
        <v>Active</v>
      </c>
      <c r="L475" t="str">
        <f>TEXT(customer[[#This Row],[SubscriptionDate]],"mmm-yyyy")</f>
        <v>Jun-2022</v>
      </c>
      <c r="M475" s="1">
        <f ca="1">TODAY()-customer[[#This Row],[LastLoginDate]]</f>
        <v>1204</v>
      </c>
    </row>
    <row r="476" spans="1:13" x14ac:dyDescent="0.3">
      <c r="A476">
        <v>475</v>
      </c>
      <c r="B476" t="s">
        <v>489</v>
      </c>
      <c r="C476">
        <v>24</v>
      </c>
      <c r="D476" t="s">
        <v>11</v>
      </c>
      <c r="E476" t="s">
        <v>18</v>
      </c>
      <c r="F476" s="1">
        <v>44846</v>
      </c>
      <c r="G476" s="1">
        <v>45085</v>
      </c>
      <c r="H476">
        <v>467</v>
      </c>
      <c r="I476">
        <v>2.1</v>
      </c>
      <c r="J476">
        <v>0</v>
      </c>
      <c r="K476" t="str">
        <f>IF(customer[[#This Row],[IsChurned]]=1,"Churned","Active")</f>
        <v>Active</v>
      </c>
      <c r="L476" t="str">
        <f>TEXT(customer[[#This Row],[SubscriptionDate]],"mmm-yyyy")</f>
        <v>Oct-2022</v>
      </c>
      <c r="M476" s="1">
        <f ca="1">TODAY()-customer[[#This Row],[LastLoginDate]]</f>
        <v>958</v>
      </c>
    </row>
    <row r="477" spans="1:13" x14ac:dyDescent="0.3">
      <c r="A477">
        <v>476</v>
      </c>
      <c r="B477" t="s">
        <v>490</v>
      </c>
      <c r="C477">
        <v>25</v>
      </c>
      <c r="D477" t="s">
        <v>11</v>
      </c>
      <c r="E477" t="s">
        <v>12</v>
      </c>
      <c r="F477" s="1">
        <v>44600</v>
      </c>
      <c r="G477" s="1">
        <v>44738</v>
      </c>
      <c r="H477">
        <v>181</v>
      </c>
      <c r="I477">
        <v>1.9</v>
      </c>
      <c r="J477">
        <v>1</v>
      </c>
      <c r="K477" t="str">
        <f>IF(customer[[#This Row],[IsChurned]]=1,"Churned","Active")</f>
        <v>Churned</v>
      </c>
      <c r="L477" t="str">
        <f>TEXT(customer[[#This Row],[SubscriptionDate]],"mmm-yyyy")</f>
        <v>Feb-2022</v>
      </c>
      <c r="M477" s="1">
        <f ca="1">TODAY()-customer[[#This Row],[LastLoginDate]]</f>
        <v>1305</v>
      </c>
    </row>
    <row r="478" spans="1:13" x14ac:dyDescent="0.3">
      <c r="A478">
        <v>477</v>
      </c>
      <c r="B478" t="s">
        <v>491</v>
      </c>
      <c r="C478">
        <v>30</v>
      </c>
      <c r="D478" t="s">
        <v>14</v>
      </c>
      <c r="E478" t="s">
        <v>18</v>
      </c>
      <c r="F478" s="1">
        <v>44989</v>
      </c>
      <c r="G478" s="1">
        <v>45032</v>
      </c>
      <c r="H478">
        <v>33</v>
      </c>
      <c r="I478">
        <v>4.9000000000000004</v>
      </c>
      <c r="J478">
        <v>1</v>
      </c>
      <c r="K478" t="str">
        <f>IF(customer[[#This Row],[IsChurned]]=1,"Churned","Active")</f>
        <v>Churned</v>
      </c>
      <c r="L478" t="str">
        <f>TEXT(customer[[#This Row],[SubscriptionDate]],"mmm-yyyy")</f>
        <v>Mar-2023</v>
      </c>
      <c r="M478" s="1">
        <f ca="1">TODAY()-customer[[#This Row],[LastLoginDate]]</f>
        <v>1011</v>
      </c>
    </row>
    <row r="479" spans="1:13" x14ac:dyDescent="0.3">
      <c r="A479">
        <v>478</v>
      </c>
      <c r="B479" t="s">
        <v>492</v>
      </c>
      <c r="C479">
        <v>53</v>
      </c>
      <c r="D479" t="s">
        <v>11</v>
      </c>
      <c r="E479" t="s">
        <v>18</v>
      </c>
      <c r="F479" s="1">
        <v>45150</v>
      </c>
      <c r="G479" s="1">
        <v>45458</v>
      </c>
      <c r="H479">
        <v>172</v>
      </c>
      <c r="I479">
        <v>3</v>
      </c>
      <c r="J479">
        <v>1</v>
      </c>
      <c r="K479" t="str">
        <f>IF(customer[[#This Row],[IsChurned]]=1,"Churned","Active")</f>
        <v>Churned</v>
      </c>
      <c r="L479" t="str">
        <f>TEXT(customer[[#This Row],[SubscriptionDate]],"mmm-yyyy")</f>
        <v>Aug-2023</v>
      </c>
      <c r="M479" s="1">
        <f ca="1">TODAY()-customer[[#This Row],[LastLoginDate]]</f>
        <v>585</v>
      </c>
    </row>
    <row r="480" spans="1:13" x14ac:dyDescent="0.3">
      <c r="A480">
        <v>479</v>
      </c>
      <c r="B480" t="s">
        <v>493</v>
      </c>
      <c r="C480">
        <v>61</v>
      </c>
      <c r="D480" t="s">
        <v>14</v>
      </c>
      <c r="E480" t="s">
        <v>12</v>
      </c>
      <c r="F480" s="1">
        <v>44977</v>
      </c>
      <c r="G480" s="1">
        <v>45283</v>
      </c>
      <c r="H480">
        <v>382</v>
      </c>
      <c r="I480">
        <v>3.6</v>
      </c>
      <c r="J480">
        <v>0</v>
      </c>
      <c r="K480" t="str">
        <f>IF(customer[[#This Row],[IsChurned]]=1,"Churned","Active")</f>
        <v>Active</v>
      </c>
      <c r="L480" t="str">
        <f>TEXT(customer[[#This Row],[SubscriptionDate]],"mmm-yyyy")</f>
        <v>Feb-2023</v>
      </c>
      <c r="M480" s="1">
        <f ca="1">TODAY()-customer[[#This Row],[LastLoginDate]]</f>
        <v>760</v>
      </c>
    </row>
    <row r="481" spans="1:13" x14ac:dyDescent="0.3">
      <c r="A481">
        <v>480</v>
      </c>
      <c r="B481" t="s">
        <v>494</v>
      </c>
      <c r="C481">
        <v>24</v>
      </c>
      <c r="D481" t="s">
        <v>14</v>
      </c>
      <c r="E481" t="s">
        <v>12</v>
      </c>
      <c r="F481" s="1">
        <v>45395</v>
      </c>
      <c r="G481" s="1">
        <v>45395</v>
      </c>
      <c r="H481">
        <v>430</v>
      </c>
      <c r="I481">
        <v>3.1</v>
      </c>
      <c r="J481">
        <v>1</v>
      </c>
      <c r="K481" t="str">
        <f>IF(customer[[#This Row],[IsChurned]]=1,"Churned","Active")</f>
        <v>Churned</v>
      </c>
      <c r="L481" t="str">
        <f>TEXT(customer[[#This Row],[SubscriptionDate]],"mmm-yyyy")</f>
        <v>Apr-2024</v>
      </c>
      <c r="M481" s="1">
        <f ca="1">TODAY()-customer[[#This Row],[LastLoginDate]]</f>
        <v>648</v>
      </c>
    </row>
    <row r="482" spans="1:13" x14ac:dyDescent="0.3">
      <c r="A482">
        <v>481</v>
      </c>
      <c r="B482" t="s">
        <v>495</v>
      </c>
      <c r="C482">
        <v>34</v>
      </c>
      <c r="D482" t="s">
        <v>14</v>
      </c>
      <c r="E482" t="s">
        <v>18</v>
      </c>
      <c r="F482" s="1">
        <v>44739</v>
      </c>
      <c r="G482" s="1">
        <v>44839</v>
      </c>
      <c r="H482">
        <v>424</v>
      </c>
      <c r="I482">
        <v>2.7</v>
      </c>
      <c r="J482">
        <v>1</v>
      </c>
      <c r="K482" t="str">
        <f>IF(customer[[#This Row],[IsChurned]]=1,"Churned","Active")</f>
        <v>Churned</v>
      </c>
      <c r="L482" t="str">
        <f>TEXT(customer[[#This Row],[SubscriptionDate]],"mmm-yyyy")</f>
        <v>Jun-2022</v>
      </c>
      <c r="M482" s="1">
        <f ca="1">TODAY()-customer[[#This Row],[LastLoginDate]]</f>
        <v>1204</v>
      </c>
    </row>
    <row r="483" spans="1:13" x14ac:dyDescent="0.3">
      <c r="A483">
        <v>482</v>
      </c>
      <c r="B483" t="s">
        <v>496</v>
      </c>
      <c r="C483">
        <v>43</v>
      </c>
      <c r="D483" t="s">
        <v>14</v>
      </c>
      <c r="E483" t="s">
        <v>12</v>
      </c>
      <c r="F483" s="1">
        <v>45253</v>
      </c>
      <c r="G483" s="1">
        <v>45588</v>
      </c>
      <c r="H483">
        <v>267</v>
      </c>
      <c r="I483">
        <v>2.9</v>
      </c>
      <c r="J483">
        <v>0</v>
      </c>
      <c r="K483" t="str">
        <f>IF(customer[[#This Row],[IsChurned]]=1,"Churned","Active")</f>
        <v>Active</v>
      </c>
      <c r="L483" t="str">
        <f>TEXT(customer[[#This Row],[SubscriptionDate]],"mmm-yyyy")</f>
        <v>Nov-2023</v>
      </c>
      <c r="M483" s="1">
        <f ca="1">TODAY()-customer[[#This Row],[LastLoginDate]]</f>
        <v>455</v>
      </c>
    </row>
    <row r="484" spans="1:13" x14ac:dyDescent="0.3">
      <c r="A484">
        <v>483</v>
      </c>
      <c r="B484" t="s">
        <v>497</v>
      </c>
      <c r="C484">
        <v>56</v>
      </c>
      <c r="D484" t="s">
        <v>14</v>
      </c>
      <c r="E484" t="s">
        <v>12</v>
      </c>
      <c r="F484" s="1">
        <v>45171</v>
      </c>
      <c r="G484" s="1">
        <v>45417</v>
      </c>
      <c r="H484">
        <v>246</v>
      </c>
      <c r="I484">
        <v>4.5</v>
      </c>
      <c r="J484">
        <v>0</v>
      </c>
      <c r="K484" t="str">
        <f>IF(customer[[#This Row],[IsChurned]]=1,"Churned","Active")</f>
        <v>Active</v>
      </c>
      <c r="L484" t="str">
        <f>TEXT(customer[[#This Row],[SubscriptionDate]],"mmm-yyyy")</f>
        <v>Sep-2023</v>
      </c>
      <c r="M484" s="1">
        <f ca="1">TODAY()-customer[[#This Row],[LastLoginDate]]</f>
        <v>626</v>
      </c>
    </row>
    <row r="485" spans="1:13" x14ac:dyDescent="0.3">
      <c r="A485">
        <v>484</v>
      </c>
      <c r="B485" t="s">
        <v>498</v>
      </c>
      <c r="C485">
        <v>25</v>
      </c>
      <c r="D485" t="s">
        <v>11</v>
      </c>
      <c r="E485" t="s">
        <v>15</v>
      </c>
      <c r="F485" s="1">
        <v>45444</v>
      </c>
      <c r="G485" s="1">
        <v>45677</v>
      </c>
      <c r="H485">
        <v>408</v>
      </c>
      <c r="I485">
        <v>1.3</v>
      </c>
      <c r="J485">
        <v>1</v>
      </c>
      <c r="K485" t="str">
        <f>IF(customer[[#This Row],[IsChurned]]=1,"Churned","Active")</f>
        <v>Churned</v>
      </c>
      <c r="L485" t="str">
        <f>TEXT(customer[[#This Row],[SubscriptionDate]],"mmm-yyyy")</f>
        <v>Jun-2024</v>
      </c>
      <c r="M485" s="1">
        <f ca="1">TODAY()-customer[[#This Row],[LastLoginDate]]</f>
        <v>366</v>
      </c>
    </row>
    <row r="486" spans="1:13" x14ac:dyDescent="0.3">
      <c r="A486">
        <v>485</v>
      </c>
      <c r="B486" t="s">
        <v>499</v>
      </c>
      <c r="C486">
        <v>43</v>
      </c>
      <c r="D486" t="s">
        <v>11</v>
      </c>
      <c r="E486" t="s">
        <v>15</v>
      </c>
      <c r="F486" s="1">
        <v>44566</v>
      </c>
      <c r="G486" s="1">
        <v>44913</v>
      </c>
      <c r="H486">
        <v>44</v>
      </c>
      <c r="I486">
        <v>2.8</v>
      </c>
      <c r="J486">
        <v>0</v>
      </c>
      <c r="K486" t="str">
        <f>IF(customer[[#This Row],[IsChurned]]=1,"Churned","Active")</f>
        <v>Active</v>
      </c>
      <c r="L486" t="str">
        <f>TEXT(customer[[#This Row],[SubscriptionDate]],"mmm-yyyy")</f>
        <v>Jan-2022</v>
      </c>
      <c r="M486" s="1">
        <f ca="1">TODAY()-customer[[#This Row],[LastLoginDate]]</f>
        <v>1130</v>
      </c>
    </row>
    <row r="487" spans="1:13" x14ac:dyDescent="0.3">
      <c r="A487">
        <v>486</v>
      </c>
      <c r="B487" t="s">
        <v>500</v>
      </c>
      <c r="C487">
        <v>51</v>
      </c>
      <c r="D487" t="s">
        <v>14</v>
      </c>
      <c r="E487" t="s">
        <v>15</v>
      </c>
      <c r="F487" s="1">
        <v>45150</v>
      </c>
      <c r="G487" s="1">
        <v>45337</v>
      </c>
      <c r="H487">
        <v>13</v>
      </c>
      <c r="I487">
        <v>4</v>
      </c>
      <c r="J487">
        <v>1</v>
      </c>
      <c r="K487" t="str">
        <f>IF(customer[[#This Row],[IsChurned]]=1,"Churned","Active")</f>
        <v>Churned</v>
      </c>
      <c r="L487" t="str">
        <f>TEXT(customer[[#This Row],[SubscriptionDate]],"mmm-yyyy")</f>
        <v>Aug-2023</v>
      </c>
      <c r="M487" s="1">
        <f ca="1">TODAY()-customer[[#This Row],[LastLoginDate]]</f>
        <v>706</v>
      </c>
    </row>
    <row r="488" spans="1:13" x14ac:dyDescent="0.3">
      <c r="A488">
        <v>487</v>
      </c>
      <c r="B488" t="s">
        <v>501</v>
      </c>
      <c r="C488">
        <v>20</v>
      </c>
      <c r="D488" t="s">
        <v>11</v>
      </c>
      <c r="E488" t="s">
        <v>12</v>
      </c>
      <c r="F488" s="1">
        <v>45048</v>
      </c>
      <c r="G488" s="1">
        <v>45322</v>
      </c>
      <c r="H488">
        <v>30</v>
      </c>
      <c r="I488">
        <v>3.1</v>
      </c>
      <c r="J488">
        <v>0</v>
      </c>
      <c r="K488" t="str">
        <f>IF(customer[[#This Row],[IsChurned]]=1,"Churned","Active")</f>
        <v>Active</v>
      </c>
      <c r="L488" t="str">
        <f>TEXT(customer[[#This Row],[SubscriptionDate]],"mmm-yyyy")</f>
        <v>May-2023</v>
      </c>
      <c r="M488" s="1">
        <f ca="1">TODAY()-customer[[#This Row],[LastLoginDate]]</f>
        <v>721</v>
      </c>
    </row>
    <row r="489" spans="1:13" x14ac:dyDescent="0.3">
      <c r="A489">
        <v>488</v>
      </c>
      <c r="B489" t="s">
        <v>502</v>
      </c>
      <c r="C489">
        <v>60</v>
      </c>
      <c r="D489" t="s">
        <v>14</v>
      </c>
      <c r="E489" t="s">
        <v>12</v>
      </c>
      <c r="F489" s="1">
        <v>44679</v>
      </c>
      <c r="G489" s="1">
        <v>44788</v>
      </c>
      <c r="H489">
        <v>209</v>
      </c>
      <c r="I489">
        <v>2.1</v>
      </c>
      <c r="J489">
        <v>0</v>
      </c>
      <c r="K489" t="str">
        <f>IF(customer[[#This Row],[IsChurned]]=1,"Churned","Active")</f>
        <v>Active</v>
      </c>
      <c r="L489" t="str">
        <f>TEXT(customer[[#This Row],[SubscriptionDate]],"mmm-yyyy")</f>
        <v>Apr-2022</v>
      </c>
      <c r="M489" s="1">
        <f ca="1">TODAY()-customer[[#This Row],[LastLoginDate]]</f>
        <v>1255</v>
      </c>
    </row>
    <row r="490" spans="1:13" x14ac:dyDescent="0.3">
      <c r="A490">
        <v>489</v>
      </c>
      <c r="B490" t="s">
        <v>503</v>
      </c>
      <c r="C490">
        <v>37</v>
      </c>
      <c r="D490" t="s">
        <v>11</v>
      </c>
      <c r="E490" t="s">
        <v>18</v>
      </c>
      <c r="F490" s="1">
        <v>44896</v>
      </c>
      <c r="G490" s="1">
        <v>44936</v>
      </c>
      <c r="H490">
        <v>334</v>
      </c>
      <c r="I490">
        <v>2.1</v>
      </c>
      <c r="J490">
        <v>1</v>
      </c>
      <c r="K490" t="str">
        <f>IF(customer[[#This Row],[IsChurned]]=1,"Churned","Active")</f>
        <v>Churned</v>
      </c>
      <c r="L490" t="str">
        <f>TEXT(customer[[#This Row],[SubscriptionDate]],"mmm-yyyy")</f>
        <v>Dec-2022</v>
      </c>
      <c r="M490" s="1">
        <f ca="1">TODAY()-customer[[#This Row],[LastLoginDate]]</f>
        <v>1107</v>
      </c>
    </row>
    <row r="491" spans="1:13" x14ac:dyDescent="0.3">
      <c r="A491">
        <v>490</v>
      </c>
      <c r="B491" t="s">
        <v>504</v>
      </c>
      <c r="C491">
        <v>19</v>
      </c>
      <c r="D491" t="s">
        <v>11</v>
      </c>
      <c r="E491" t="s">
        <v>15</v>
      </c>
      <c r="F491" s="1">
        <v>45190</v>
      </c>
      <c r="G491" s="1">
        <v>45394</v>
      </c>
      <c r="H491">
        <v>77</v>
      </c>
      <c r="I491">
        <v>3.4</v>
      </c>
      <c r="J491">
        <v>1</v>
      </c>
      <c r="K491" t="str">
        <f>IF(customer[[#This Row],[IsChurned]]=1,"Churned","Active")</f>
        <v>Churned</v>
      </c>
      <c r="L491" t="str">
        <f>TEXT(customer[[#This Row],[SubscriptionDate]],"mmm-yyyy")</f>
        <v>Sep-2023</v>
      </c>
      <c r="M491" s="1">
        <f ca="1">TODAY()-customer[[#This Row],[LastLoginDate]]</f>
        <v>649</v>
      </c>
    </row>
    <row r="492" spans="1:13" x14ac:dyDescent="0.3">
      <c r="A492">
        <v>491</v>
      </c>
      <c r="B492" t="s">
        <v>505</v>
      </c>
      <c r="C492">
        <v>43</v>
      </c>
      <c r="D492" t="s">
        <v>11</v>
      </c>
      <c r="E492" t="s">
        <v>18</v>
      </c>
      <c r="F492" s="1">
        <v>45255</v>
      </c>
      <c r="G492" s="1">
        <v>45291</v>
      </c>
      <c r="H492">
        <v>164</v>
      </c>
      <c r="I492">
        <v>1.9</v>
      </c>
      <c r="J492">
        <v>1</v>
      </c>
      <c r="K492" t="str">
        <f>IF(customer[[#This Row],[IsChurned]]=1,"Churned","Active")</f>
        <v>Churned</v>
      </c>
      <c r="L492" t="str">
        <f>TEXT(customer[[#This Row],[SubscriptionDate]],"mmm-yyyy")</f>
        <v>Nov-2023</v>
      </c>
      <c r="M492" s="1">
        <f ca="1">TODAY()-customer[[#This Row],[LastLoginDate]]</f>
        <v>752</v>
      </c>
    </row>
    <row r="493" spans="1:13" x14ac:dyDescent="0.3">
      <c r="A493">
        <v>492</v>
      </c>
      <c r="B493" t="s">
        <v>506</v>
      </c>
      <c r="C493">
        <v>25</v>
      </c>
      <c r="D493" t="s">
        <v>11</v>
      </c>
      <c r="E493" t="s">
        <v>12</v>
      </c>
      <c r="F493" s="1">
        <v>44627</v>
      </c>
      <c r="G493" s="1">
        <v>44651</v>
      </c>
      <c r="H493">
        <v>142</v>
      </c>
      <c r="I493">
        <v>1.2</v>
      </c>
      <c r="J493">
        <v>1</v>
      </c>
      <c r="K493" t="str">
        <f>IF(customer[[#This Row],[IsChurned]]=1,"Churned","Active")</f>
        <v>Churned</v>
      </c>
      <c r="L493" t="str">
        <f>TEXT(customer[[#This Row],[SubscriptionDate]],"mmm-yyyy")</f>
        <v>Mar-2022</v>
      </c>
      <c r="M493" s="1">
        <f ca="1">TODAY()-customer[[#This Row],[LastLoginDate]]</f>
        <v>1392</v>
      </c>
    </row>
    <row r="494" spans="1:13" x14ac:dyDescent="0.3">
      <c r="A494">
        <v>493</v>
      </c>
      <c r="B494" t="s">
        <v>507</v>
      </c>
      <c r="C494">
        <v>39</v>
      </c>
      <c r="D494" t="s">
        <v>11</v>
      </c>
      <c r="E494" t="s">
        <v>18</v>
      </c>
      <c r="F494" s="1">
        <v>45325</v>
      </c>
      <c r="G494" s="1">
        <v>45546</v>
      </c>
      <c r="H494">
        <v>241</v>
      </c>
      <c r="I494">
        <v>1.1000000000000001</v>
      </c>
      <c r="J494">
        <v>0</v>
      </c>
      <c r="K494" t="str">
        <f>IF(customer[[#This Row],[IsChurned]]=1,"Churned","Active")</f>
        <v>Active</v>
      </c>
      <c r="L494" t="str">
        <f>TEXT(customer[[#This Row],[SubscriptionDate]],"mmm-yyyy")</f>
        <v>Feb-2024</v>
      </c>
      <c r="M494" s="1">
        <f ca="1">TODAY()-customer[[#This Row],[LastLoginDate]]</f>
        <v>497</v>
      </c>
    </row>
    <row r="495" spans="1:13" x14ac:dyDescent="0.3">
      <c r="A495">
        <v>494</v>
      </c>
      <c r="B495" t="s">
        <v>508</v>
      </c>
      <c r="C495">
        <v>62</v>
      </c>
      <c r="D495" t="s">
        <v>14</v>
      </c>
      <c r="E495" t="s">
        <v>12</v>
      </c>
      <c r="F495" s="1">
        <v>44885</v>
      </c>
      <c r="G495" s="1">
        <v>44906</v>
      </c>
      <c r="H495">
        <v>171</v>
      </c>
      <c r="I495">
        <v>1.6</v>
      </c>
      <c r="J495">
        <v>1</v>
      </c>
      <c r="K495" t="str">
        <f>IF(customer[[#This Row],[IsChurned]]=1,"Churned","Active")</f>
        <v>Churned</v>
      </c>
      <c r="L495" t="str">
        <f>TEXT(customer[[#This Row],[SubscriptionDate]],"mmm-yyyy")</f>
        <v>Nov-2022</v>
      </c>
      <c r="M495" s="1">
        <f ca="1">TODAY()-customer[[#This Row],[LastLoginDate]]</f>
        <v>1137</v>
      </c>
    </row>
    <row r="496" spans="1:13" x14ac:dyDescent="0.3">
      <c r="A496">
        <v>495</v>
      </c>
      <c r="B496" t="s">
        <v>509</v>
      </c>
      <c r="C496">
        <v>45</v>
      </c>
      <c r="D496" t="s">
        <v>11</v>
      </c>
      <c r="E496" t="s">
        <v>15</v>
      </c>
      <c r="F496" s="1">
        <v>44982</v>
      </c>
      <c r="G496" s="1">
        <v>45118</v>
      </c>
      <c r="H496">
        <v>175</v>
      </c>
      <c r="I496">
        <v>2.2000000000000002</v>
      </c>
      <c r="J496">
        <v>1</v>
      </c>
      <c r="K496" t="str">
        <f>IF(customer[[#This Row],[IsChurned]]=1,"Churned","Active")</f>
        <v>Churned</v>
      </c>
      <c r="L496" t="str">
        <f>TEXT(customer[[#This Row],[SubscriptionDate]],"mmm-yyyy")</f>
        <v>Feb-2023</v>
      </c>
      <c r="M496" s="1">
        <f ca="1">TODAY()-customer[[#This Row],[LastLoginDate]]</f>
        <v>925</v>
      </c>
    </row>
    <row r="497" spans="1:13" x14ac:dyDescent="0.3">
      <c r="A497">
        <v>496</v>
      </c>
      <c r="B497" t="s">
        <v>510</v>
      </c>
      <c r="C497">
        <v>60</v>
      </c>
      <c r="D497" t="s">
        <v>11</v>
      </c>
      <c r="E497" t="s">
        <v>15</v>
      </c>
      <c r="F497" s="1">
        <v>45118</v>
      </c>
      <c r="G497" s="1">
        <v>45461</v>
      </c>
      <c r="H497">
        <v>177</v>
      </c>
      <c r="I497">
        <v>4.2</v>
      </c>
      <c r="J497">
        <v>0</v>
      </c>
      <c r="K497" t="str">
        <f>IF(customer[[#This Row],[IsChurned]]=1,"Churned","Active")</f>
        <v>Active</v>
      </c>
      <c r="L497" t="str">
        <f>TEXT(customer[[#This Row],[SubscriptionDate]],"mmm-yyyy")</f>
        <v>Jul-2023</v>
      </c>
      <c r="M497" s="1">
        <f ca="1">TODAY()-customer[[#This Row],[LastLoginDate]]</f>
        <v>582</v>
      </c>
    </row>
    <row r="498" spans="1:13" x14ac:dyDescent="0.3">
      <c r="A498">
        <v>497</v>
      </c>
      <c r="B498" t="s">
        <v>511</v>
      </c>
      <c r="C498">
        <v>41</v>
      </c>
      <c r="D498" t="s">
        <v>14</v>
      </c>
      <c r="E498" t="s">
        <v>18</v>
      </c>
      <c r="F498" s="1">
        <v>44941</v>
      </c>
      <c r="G498" s="1">
        <v>45115</v>
      </c>
      <c r="H498">
        <v>333</v>
      </c>
      <c r="I498">
        <v>4.8</v>
      </c>
      <c r="J498">
        <v>0</v>
      </c>
      <c r="K498" t="str">
        <f>IF(customer[[#This Row],[IsChurned]]=1,"Churned","Active")</f>
        <v>Active</v>
      </c>
      <c r="L498" t="str">
        <f>TEXT(customer[[#This Row],[SubscriptionDate]],"mmm-yyyy")</f>
        <v>Jan-2023</v>
      </c>
      <c r="M498" s="1">
        <f ca="1">TODAY()-customer[[#This Row],[LastLoginDate]]</f>
        <v>928</v>
      </c>
    </row>
    <row r="499" spans="1:13" x14ac:dyDescent="0.3">
      <c r="A499">
        <v>498</v>
      </c>
      <c r="B499" t="s">
        <v>512</v>
      </c>
      <c r="C499">
        <v>19</v>
      </c>
      <c r="D499" t="s">
        <v>14</v>
      </c>
      <c r="E499" t="s">
        <v>18</v>
      </c>
      <c r="F499" s="1">
        <v>44859</v>
      </c>
      <c r="G499" s="1">
        <v>45118</v>
      </c>
      <c r="H499">
        <v>347</v>
      </c>
      <c r="I499">
        <v>1.3</v>
      </c>
      <c r="J499">
        <v>1</v>
      </c>
      <c r="K499" t="str">
        <f>IF(customer[[#This Row],[IsChurned]]=1,"Churned","Active")</f>
        <v>Churned</v>
      </c>
      <c r="L499" t="str">
        <f>TEXT(customer[[#This Row],[SubscriptionDate]],"mmm-yyyy")</f>
        <v>Oct-2022</v>
      </c>
      <c r="M499" s="1">
        <f ca="1">TODAY()-customer[[#This Row],[LastLoginDate]]</f>
        <v>925</v>
      </c>
    </row>
    <row r="500" spans="1:13" x14ac:dyDescent="0.3">
      <c r="A500">
        <v>499</v>
      </c>
      <c r="B500" t="s">
        <v>513</v>
      </c>
      <c r="C500">
        <v>55</v>
      </c>
      <c r="D500" t="s">
        <v>14</v>
      </c>
      <c r="E500" t="s">
        <v>15</v>
      </c>
      <c r="F500" s="1">
        <v>44690</v>
      </c>
      <c r="G500" s="1">
        <v>44931</v>
      </c>
      <c r="H500">
        <v>476</v>
      </c>
      <c r="I500">
        <v>2.9</v>
      </c>
      <c r="J500">
        <v>0</v>
      </c>
      <c r="K500" t="str">
        <f>IF(customer[[#This Row],[IsChurned]]=1,"Churned","Active")</f>
        <v>Active</v>
      </c>
      <c r="L500" t="str">
        <f>TEXT(customer[[#This Row],[SubscriptionDate]],"mmm-yyyy")</f>
        <v>May-2022</v>
      </c>
      <c r="M500" s="1">
        <f ca="1">TODAY()-customer[[#This Row],[LastLoginDate]]</f>
        <v>1112</v>
      </c>
    </row>
    <row r="501" spans="1:13" x14ac:dyDescent="0.3">
      <c r="A501">
        <v>500</v>
      </c>
      <c r="B501" t="s">
        <v>514</v>
      </c>
      <c r="C501">
        <v>55</v>
      </c>
      <c r="D501" t="s">
        <v>14</v>
      </c>
      <c r="E501" t="s">
        <v>12</v>
      </c>
      <c r="F501" s="1">
        <v>44942</v>
      </c>
      <c r="G501" s="1">
        <v>45033</v>
      </c>
      <c r="H501">
        <v>41</v>
      </c>
      <c r="I501">
        <v>1.8</v>
      </c>
      <c r="J501">
        <v>1</v>
      </c>
      <c r="K501" t="str">
        <f>IF(customer[[#This Row],[IsChurned]]=1,"Churned","Active")</f>
        <v>Churned</v>
      </c>
      <c r="L501" t="str">
        <f>TEXT(customer[[#This Row],[SubscriptionDate]],"mmm-yyyy")</f>
        <v>Jan-2023</v>
      </c>
      <c r="M501" s="1">
        <f ca="1">TODAY()-customer[[#This Row],[LastLoginDate]]</f>
        <v>1010</v>
      </c>
    </row>
    <row r="502" spans="1:13" x14ac:dyDescent="0.3">
      <c r="A502">
        <v>501</v>
      </c>
      <c r="B502" t="s">
        <v>515</v>
      </c>
      <c r="C502">
        <v>18</v>
      </c>
      <c r="D502" t="s">
        <v>14</v>
      </c>
      <c r="E502" t="s">
        <v>15</v>
      </c>
      <c r="F502" s="1">
        <v>45206</v>
      </c>
      <c r="G502" s="1">
        <v>45413</v>
      </c>
      <c r="H502">
        <v>473</v>
      </c>
      <c r="I502">
        <v>3.4</v>
      </c>
      <c r="J502">
        <v>0</v>
      </c>
      <c r="K502" t="str">
        <f>IF(customer[[#This Row],[IsChurned]]=1,"Churned","Active")</f>
        <v>Active</v>
      </c>
      <c r="L502" t="str">
        <f>TEXT(customer[[#This Row],[SubscriptionDate]],"mmm-yyyy")</f>
        <v>Oct-2023</v>
      </c>
      <c r="M502" s="1">
        <f ca="1">TODAY()-customer[[#This Row],[LastLoginDate]]</f>
        <v>630</v>
      </c>
    </row>
    <row r="503" spans="1:13" x14ac:dyDescent="0.3">
      <c r="A503">
        <v>502</v>
      </c>
      <c r="B503" t="s">
        <v>516</v>
      </c>
      <c r="C503">
        <v>37</v>
      </c>
      <c r="D503" t="s">
        <v>11</v>
      </c>
      <c r="E503" t="s">
        <v>18</v>
      </c>
      <c r="F503" s="1">
        <v>44864</v>
      </c>
      <c r="G503" s="1">
        <v>45194</v>
      </c>
      <c r="H503">
        <v>96</v>
      </c>
      <c r="I503">
        <v>5</v>
      </c>
      <c r="J503">
        <v>1</v>
      </c>
      <c r="K503" t="str">
        <f>IF(customer[[#This Row],[IsChurned]]=1,"Churned","Active")</f>
        <v>Churned</v>
      </c>
      <c r="L503" t="str">
        <f>TEXT(customer[[#This Row],[SubscriptionDate]],"mmm-yyyy")</f>
        <v>Oct-2022</v>
      </c>
      <c r="M503" s="1">
        <f ca="1">TODAY()-customer[[#This Row],[LastLoginDate]]</f>
        <v>849</v>
      </c>
    </row>
    <row r="504" spans="1:13" x14ac:dyDescent="0.3">
      <c r="A504">
        <v>503</v>
      </c>
      <c r="B504" t="s">
        <v>517</v>
      </c>
      <c r="C504">
        <v>50</v>
      </c>
      <c r="D504" t="s">
        <v>11</v>
      </c>
      <c r="E504" t="s">
        <v>12</v>
      </c>
      <c r="F504" s="1">
        <v>45159</v>
      </c>
      <c r="G504" s="1">
        <v>45259</v>
      </c>
      <c r="H504">
        <v>119</v>
      </c>
      <c r="I504">
        <v>2.8</v>
      </c>
      <c r="J504">
        <v>1</v>
      </c>
      <c r="K504" t="str">
        <f>IF(customer[[#This Row],[IsChurned]]=1,"Churned","Active")</f>
        <v>Churned</v>
      </c>
      <c r="L504" t="str">
        <f>TEXT(customer[[#This Row],[SubscriptionDate]],"mmm-yyyy")</f>
        <v>Aug-2023</v>
      </c>
      <c r="M504" s="1">
        <f ca="1">TODAY()-customer[[#This Row],[LastLoginDate]]</f>
        <v>784</v>
      </c>
    </row>
    <row r="505" spans="1:13" x14ac:dyDescent="0.3">
      <c r="A505">
        <v>504</v>
      </c>
      <c r="B505" t="s">
        <v>518</v>
      </c>
      <c r="C505">
        <v>39</v>
      </c>
      <c r="D505" t="s">
        <v>14</v>
      </c>
      <c r="E505" t="s">
        <v>15</v>
      </c>
      <c r="F505" s="1">
        <v>45229</v>
      </c>
      <c r="G505" s="1">
        <v>45259</v>
      </c>
      <c r="H505">
        <v>152</v>
      </c>
      <c r="I505">
        <v>1.5</v>
      </c>
      <c r="J505">
        <v>1</v>
      </c>
      <c r="K505" t="str">
        <f>IF(customer[[#This Row],[IsChurned]]=1,"Churned","Active")</f>
        <v>Churned</v>
      </c>
      <c r="L505" t="str">
        <f>TEXT(customer[[#This Row],[SubscriptionDate]],"mmm-yyyy")</f>
        <v>Oct-2023</v>
      </c>
      <c r="M505" s="1">
        <f ca="1">TODAY()-customer[[#This Row],[LastLoginDate]]</f>
        <v>784</v>
      </c>
    </row>
    <row r="506" spans="1:13" x14ac:dyDescent="0.3">
      <c r="A506">
        <v>505</v>
      </c>
      <c r="B506" t="s">
        <v>519</v>
      </c>
      <c r="C506">
        <v>20</v>
      </c>
      <c r="D506" t="s">
        <v>11</v>
      </c>
      <c r="E506" t="s">
        <v>12</v>
      </c>
      <c r="F506" s="1">
        <v>44864</v>
      </c>
      <c r="G506" s="1">
        <v>45171</v>
      </c>
      <c r="H506">
        <v>166</v>
      </c>
      <c r="I506">
        <v>1.9</v>
      </c>
      <c r="J506">
        <v>1</v>
      </c>
      <c r="K506" t="str">
        <f>IF(customer[[#This Row],[IsChurned]]=1,"Churned","Active")</f>
        <v>Churned</v>
      </c>
      <c r="L506" t="str">
        <f>TEXT(customer[[#This Row],[SubscriptionDate]],"mmm-yyyy")</f>
        <v>Oct-2022</v>
      </c>
      <c r="M506" s="1">
        <f ca="1">TODAY()-customer[[#This Row],[LastLoginDate]]</f>
        <v>872</v>
      </c>
    </row>
    <row r="507" spans="1:13" x14ac:dyDescent="0.3">
      <c r="A507">
        <v>506</v>
      </c>
      <c r="B507" t="s">
        <v>520</v>
      </c>
      <c r="C507">
        <v>52</v>
      </c>
      <c r="D507" t="s">
        <v>14</v>
      </c>
      <c r="E507" t="s">
        <v>15</v>
      </c>
      <c r="F507" s="1">
        <v>44923</v>
      </c>
      <c r="G507" s="1">
        <v>44966</v>
      </c>
      <c r="H507">
        <v>361</v>
      </c>
      <c r="I507">
        <v>3</v>
      </c>
      <c r="J507">
        <v>1</v>
      </c>
      <c r="K507" t="str">
        <f>IF(customer[[#This Row],[IsChurned]]=1,"Churned","Active")</f>
        <v>Churned</v>
      </c>
      <c r="L507" t="str">
        <f>TEXT(customer[[#This Row],[SubscriptionDate]],"mmm-yyyy")</f>
        <v>Dec-2022</v>
      </c>
      <c r="M507" s="1">
        <f ca="1">TODAY()-customer[[#This Row],[LastLoginDate]]</f>
        <v>1077</v>
      </c>
    </row>
    <row r="508" spans="1:13" x14ac:dyDescent="0.3">
      <c r="A508">
        <v>507</v>
      </c>
      <c r="B508" t="s">
        <v>521</v>
      </c>
      <c r="C508">
        <v>57</v>
      </c>
      <c r="D508" t="s">
        <v>11</v>
      </c>
      <c r="E508" t="s">
        <v>18</v>
      </c>
      <c r="F508" s="1">
        <v>45311</v>
      </c>
      <c r="G508" s="1">
        <v>45360</v>
      </c>
      <c r="H508">
        <v>106</v>
      </c>
      <c r="I508">
        <v>4.2</v>
      </c>
      <c r="J508">
        <v>0</v>
      </c>
      <c r="K508" t="str">
        <f>IF(customer[[#This Row],[IsChurned]]=1,"Churned","Active")</f>
        <v>Active</v>
      </c>
      <c r="L508" t="str">
        <f>TEXT(customer[[#This Row],[SubscriptionDate]],"mmm-yyyy")</f>
        <v>Jan-2024</v>
      </c>
      <c r="M508" s="1">
        <f ca="1">TODAY()-customer[[#This Row],[LastLoginDate]]</f>
        <v>683</v>
      </c>
    </row>
    <row r="509" spans="1:13" x14ac:dyDescent="0.3">
      <c r="A509">
        <v>508</v>
      </c>
      <c r="B509" t="s">
        <v>522</v>
      </c>
      <c r="C509">
        <v>65</v>
      </c>
      <c r="D509" t="s">
        <v>11</v>
      </c>
      <c r="E509" t="s">
        <v>12</v>
      </c>
      <c r="F509" s="1">
        <v>45284</v>
      </c>
      <c r="G509" s="1">
        <v>45544</v>
      </c>
      <c r="H509">
        <v>477</v>
      </c>
      <c r="I509">
        <v>2.2999999999999998</v>
      </c>
      <c r="J509">
        <v>0</v>
      </c>
      <c r="K509" t="str">
        <f>IF(customer[[#This Row],[IsChurned]]=1,"Churned","Active")</f>
        <v>Active</v>
      </c>
      <c r="L509" t="str">
        <f>TEXT(customer[[#This Row],[SubscriptionDate]],"mmm-yyyy")</f>
        <v>Dec-2023</v>
      </c>
      <c r="M509" s="1">
        <f ca="1">TODAY()-customer[[#This Row],[LastLoginDate]]</f>
        <v>499</v>
      </c>
    </row>
    <row r="510" spans="1:13" x14ac:dyDescent="0.3">
      <c r="A510">
        <v>509</v>
      </c>
      <c r="B510" t="s">
        <v>523</v>
      </c>
      <c r="C510">
        <v>59</v>
      </c>
      <c r="D510" t="s">
        <v>11</v>
      </c>
      <c r="E510" t="s">
        <v>18</v>
      </c>
      <c r="F510" s="1">
        <v>45266</v>
      </c>
      <c r="G510" s="1">
        <v>45345</v>
      </c>
      <c r="H510">
        <v>358</v>
      </c>
      <c r="I510">
        <v>4.8</v>
      </c>
      <c r="J510">
        <v>0</v>
      </c>
      <c r="K510" t="str">
        <f>IF(customer[[#This Row],[IsChurned]]=1,"Churned","Active")</f>
        <v>Active</v>
      </c>
      <c r="L510" t="str">
        <f>TEXT(customer[[#This Row],[SubscriptionDate]],"mmm-yyyy")</f>
        <v>Dec-2023</v>
      </c>
      <c r="M510" s="1">
        <f ca="1">TODAY()-customer[[#This Row],[LastLoginDate]]</f>
        <v>698</v>
      </c>
    </row>
    <row r="511" spans="1:13" x14ac:dyDescent="0.3">
      <c r="A511">
        <v>510</v>
      </c>
      <c r="B511" t="s">
        <v>524</v>
      </c>
      <c r="C511">
        <v>27</v>
      </c>
      <c r="D511" t="s">
        <v>14</v>
      </c>
      <c r="E511" t="s">
        <v>18</v>
      </c>
      <c r="F511" s="1">
        <v>44642</v>
      </c>
      <c r="G511" s="1">
        <v>44710</v>
      </c>
      <c r="H511">
        <v>382</v>
      </c>
      <c r="I511">
        <v>1.8</v>
      </c>
      <c r="J511">
        <v>1</v>
      </c>
      <c r="K511" t="str">
        <f>IF(customer[[#This Row],[IsChurned]]=1,"Churned","Active")</f>
        <v>Churned</v>
      </c>
      <c r="L511" t="str">
        <f>TEXT(customer[[#This Row],[SubscriptionDate]],"mmm-yyyy")</f>
        <v>Mar-2022</v>
      </c>
      <c r="M511" s="1">
        <f ca="1">TODAY()-customer[[#This Row],[LastLoginDate]]</f>
        <v>1333</v>
      </c>
    </row>
    <row r="512" spans="1:13" x14ac:dyDescent="0.3">
      <c r="A512">
        <v>511</v>
      </c>
      <c r="B512" t="s">
        <v>525</v>
      </c>
      <c r="C512">
        <v>46</v>
      </c>
      <c r="D512" t="s">
        <v>11</v>
      </c>
      <c r="E512" t="s">
        <v>18</v>
      </c>
      <c r="F512" s="1">
        <v>45361</v>
      </c>
      <c r="G512" s="1">
        <v>45693</v>
      </c>
      <c r="H512">
        <v>40</v>
      </c>
      <c r="I512">
        <v>1.2</v>
      </c>
      <c r="J512">
        <v>1</v>
      </c>
      <c r="K512" t="str">
        <f>IF(customer[[#This Row],[IsChurned]]=1,"Churned","Active")</f>
        <v>Churned</v>
      </c>
      <c r="L512" t="str">
        <f>TEXT(customer[[#This Row],[SubscriptionDate]],"mmm-yyyy")</f>
        <v>Mar-2024</v>
      </c>
      <c r="M512" s="1">
        <f ca="1">TODAY()-customer[[#This Row],[LastLoginDate]]</f>
        <v>350</v>
      </c>
    </row>
    <row r="513" spans="1:13" x14ac:dyDescent="0.3">
      <c r="A513">
        <v>512</v>
      </c>
      <c r="B513" t="s">
        <v>526</v>
      </c>
      <c r="C513">
        <v>51</v>
      </c>
      <c r="D513" t="s">
        <v>11</v>
      </c>
      <c r="E513" t="s">
        <v>18</v>
      </c>
      <c r="F513" s="1">
        <v>45192</v>
      </c>
      <c r="G513" s="1">
        <v>45379</v>
      </c>
      <c r="H513">
        <v>304</v>
      </c>
      <c r="I513">
        <v>1.3</v>
      </c>
      <c r="J513">
        <v>1</v>
      </c>
      <c r="K513" t="str">
        <f>IF(customer[[#This Row],[IsChurned]]=1,"Churned","Active")</f>
        <v>Churned</v>
      </c>
      <c r="L513" t="str">
        <f>TEXT(customer[[#This Row],[SubscriptionDate]],"mmm-yyyy")</f>
        <v>Sep-2023</v>
      </c>
      <c r="M513" s="1">
        <f ca="1">TODAY()-customer[[#This Row],[LastLoginDate]]</f>
        <v>664</v>
      </c>
    </row>
    <row r="514" spans="1:13" x14ac:dyDescent="0.3">
      <c r="A514">
        <v>513</v>
      </c>
      <c r="B514" t="s">
        <v>527</v>
      </c>
      <c r="C514">
        <v>36</v>
      </c>
      <c r="D514" t="s">
        <v>11</v>
      </c>
      <c r="E514" t="s">
        <v>12</v>
      </c>
      <c r="F514" s="1">
        <v>44681</v>
      </c>
      <c r="G514" s="1">
        <v>44859</v>
      </c>
      <c r="H514">
        <v>138</v>
      </c>
      <c r="I514">
        <v>4.0999999999999996</v>
      </c>
      <c r="J514">
        <v>0</v>
      </c>
      <c r="K514" t="str">
        <f>IF(customer[[#This Row],[IsChurned]]=1,"Churned","Active")</f>
        <v>Active</v>
      </c>
      <c r="L514" t="str">
        <f>TEXT(customer[[#This Row],[SubscriptionDate]],"mmm-yyyy")</f>
        <v>Apr-2022</v>
      </c>
      <c r="M514" s="1">
        <f ca="1">TODAY()-customer[[#This Row],[LastLoginDate]]</f>
        <v>1184</v>
      </c>
    </row>
    <row r="515" spans="1:13" x14ac:dyDescent="0.3">
      <c r="A515">
        <v>514</v>
      </c>
      <c r="B515" t="s">
        <v>528</v>
      </c>
      <c r="C515">
        <v>45</v>
      </c>
      <c r="D515" t="s">
        <v>14</v>
      </c>
      <c r="E515" t="s">
        <v>18</v>
      </c>
      <c r="F515" s="1">
        <v>45305</v>
      </c>
      <c r="G515" s="1">
        <v>45630</v>
      </c>
      <c r="H515">
        <v>37</v>
      </c>
      <c r="I515">
        <v>1.6</v>
      </c>
      <c r="J515">
        <v>1</v>
      </c>
      <c r="K515" t="str">
        <f>IF(customer[[#This Row],[IsChurned]]=1,"Churned","Active")</f>
        <v>Churned</v>
      </c>
      <c r="L515" t="str">
        <f>TEXT(customer[[#This Row],[SubscriptionDate]],"mmm-yyyy")</f>
        <v>Jan-2024</v>
      </c>
      <c r="M515" s="1">
        <f ca="1">TODAY()-customer[[#This Row],[LastLoginDate]]</f>
        <v>413</v>
      </c>
    </row>
    <row r="516" spans="1:13" x14ac:dyDescent="0.3">
      <c r="A516">
        <v>515</v>
      </c>
      <c r="B516" t="s">
        <v>529</v>
      </c>
      <c r="C516">
        <v>25</v>
      </c>
      <c r="D516" t="s">
        <v>14</v>
      </c>
      <c r="E516" t="s">
        <v>15</v>
      </c>
      <c r="F516" s="1">
        <v>45299</v>
      </c>
      <c r="G516" s="1">
        <v>45519</v>
      </c>
      <c r="H516">
        <v>498</v>
      </c>
      <c r="I516">
        <v>3.7</v>
      </c>
      <c r="J516">
        <v>1</v>
      </c>
      <c r="K516" t="str">
        <f>IF(customer[[#This Row],[IsChurned]]=1,"Churned","Active")</f>
        <v>Churned</v>
      </c>
      <c r="L516" t="str">
        <f>TEXT(customer[[#This Row],[SubscriptionDate]],"mmm-yyyy")</f>
        <v>Jan-2024</v>
      </c>
      <c r="M516" s="1">
        <f ca="1">TODAY()-customer[[#This Row],[LastLoginDate]]</f>
        <v>524</v>
      </c>
    </row>
    <row r="517" spans="1:13" x14ac:dyDescent="0.3">
      <c r="A517">
        <v>516</v>
      </c>
      <c r="B517" t="s">
        <v>530</v>
      </c>
      <c r="C517">
        <v>64</v>
      </c>
      <c r="D517" t="s">
        <v>11</v>
      </c>
      <c r="E517" t="s">
        <v>12</v>
      </c>
      <c r="F517" s="1">
        <v>44940</v>
      </c>
      <c r="G517" s="1">
        <v>45247</v>
      </c>
      <c r="H517">
        <v>347</v>
      </c>
      <c r="I517">
        <v>1.6</v>
      </c>
      <c r="J517">
        <v>0</v>
      </c>
      <c r="K517" t="str">
        <f>IF(customer[[#This Row],[IsChurned]]=1,"Churned","Active")</f>
        <v>Active</v>
      </c>
      <c r="L517" t="str">
        <f>TEXT(customer[[#This Row],[SubscriptionDate]],"mmm-yyyy")</f>
        <v>Jan-2023</v>
      </c>
      <c r="M517" s="1">
        <f ca="1">TODAY()-customer[[#This Row],[LastLoginDate]]</f>
        <v>796</v>
      </c>
    </row>
    <row r="518" spans="1:13" x14ac:dyDescent="0.3">
      <c r="A518">
        <v>517</v>
      </c>
      <c r="B518" t="s">
        <v>531</v>
      </c>
      <c r="C518">
        <v>64</v>
      </c>
      <c r="D518" t="s">
        <v>14</v>
      </c>
      <c r="E518" t="s">
        <v>12</v>
      </c>
      <c r="F518" s="1">
        <v>44705</v>
      </c>
      <c r="G518" s="1">
        <v>44915</v>
      </c>
      <c r="H518">
        <v>127</v>
      </c>
      <c r="I518">
        <v>4.9000000000000004</v>
      </c>
      <c r="J518">
        <v>1</v>
      </c>
      <c r="K518" t="str">
        <f>IF(customer[[#This Row],[IsChurned]]=1,"Churned","Active")</f>
        <v>Churned</v>
      </c>
      <c r="L518" t="str">
        <f>TEXT(customer[[#This Row],[SubscriptionDate]],"mmm-yyyy")</f>
        <v>May-2022</v>
      </c>
      <c r="M518" s="1">
        <f ca="1">TODAY()-customer[[#This Row],[LastLoginDate]]</f>
        <v>1128</v>
      </c>
    </row>
    <row r="519" spans="1:13" x14ac:dyDescent="0.3">
      <c r="A519">
        <v>518</v>
      </c>
      <c r="B519" t="s">
        <v>532</v>
      </c>
      <c r="C519">
        <v>65</v>
      </c>
      <c r="D519" t="s">
        <v>11</v>
      </c>
      <c r="E519" t="s">
        <v>12</v>
      </c>
      <c r="F519" s="1">
        <v>45156</v>
      </c>
      <c r="G519" s="1">
        <v>45295</v>
      </c>
      <c r="H519">
        <v>352</v>
      </c>
      <c r="I519">
        <v>1.4</v>
      </c>
      <c r="J519">
        <v>1</v>
      </c>
      <c r="K519" t="str">
        <f>IF(customer[[#This Row],[IsChurned]]=1,"Churned","Active")</f>
        <v>Churned</v>
      </c>
      <c r="L519" t="str">
        <f>TEXT(customer[[#This Row],[SubscriptionDate]],"mmm-yyyy")</f>
        <v>Aug-2023</v>
      </c>
      <c r="M519" s="1">
        <f ca="1">TODAY()-customer[[#This Row],[LastLoginDate]]</f>
        <v>748</v>
      </c>
    </row>
    <row r="520" spans="1:13" x14ac:dyDescent="0.3">
      <c r="A520">
        <v>519</v>
      </c>
      <c r="B520" t="s">
        <v>533</v>
      </c>
      <c r="C520">
        <v>38</v>
      </c>
      <c r="D520" t="s">
        <v>14</v>
      </c>
      <c r="E520" t="s">
        <v>12</v>
      </c>
      <c r="F520" s="1">
        <v>44954</v>
      </c>
      <c r="G520" s="1">
        <v>45045</v>
      </c>
      <c r="H520">
        <v>280</v>
      </c>
      <c r="I520">
        <v>4.9000000000000004</v>
      </c>
      <c r="J520">
        <v>1</v>
      </c>
      <c r="K520" t="str">
        <f>IF(customer[[#This Row],[IsChurned]]=1,"Churned","Active")</f>
        <v>Churned</v>
      </c>
      <c r="L520" t="str">
        <f>TEXT(customer[[#This Row],[SubscriptionDate]],"mmm-yyyy")</f>
        <v>Jan-2023</v>
      </c>
      <c r="M520" s="1">
        <f ca="1">TODAY()-customer[[#This Row],[LastLoginDate]]</f>
        <v>998</v>
      </c>
    </row>
    <row r="521" spans="1:13" x14ac:dyDescent="0.3">
      <c r="A521">
        <v>520</v>
      </c>
      <c r="B521" t="s">
        <v>534</v>
      </c>
      <c r="C521">
        <v>22</v>
      </c>
      <c r="D521" t="s">
        <v>14</v>
      </c>
      <c r="E521" t="s">
        <v>18</v>
      </c>
      <c r="F521" s="1">
        <v>45024</v>
      </c>
      <c r="G521" s="1">
        <v>45334</v>
      </c>
      <c r="H521">
        <v>472</v>
      </c>
      <c r="I521">
        <v>1</v>
      </c>
      <c r="J521">
        <v>1</v>
      </c>
      <c r="K521" t="str">
        <f>IF(customer[[#This Row],[IsChurned]]=1,"Churned","Active")</f>
        <v>Churned</v>
      </c>
      <c r="L521" t="str">
        <f>TEXT(customer[[#This Row],[SubscriptionDate]],"mmm-yyyy")</f>
        <v>Apr-2023</v>
      </c>
      <c r="M521" s="1">
        <f ca="1">TODAY()-customer[[#This Row],[LastLoginDate]]</f>
        <v>709</v>
      </c>
    </row>
    <row r="522" spans="1:13" x14ac:dyDescent="0.3">
      <c r="A522">
        <v>521</v>
      </c>
      <c r="B522" t="s">
        <v>535</v>
      </c>
      <c r="C522">
        <v>23</v>
      </c>
      <c r="D522" t="s">
        <v>11</v>
      </c>
      <c r="E522" t="s">
        <v>12</v>
      </c>
      <c r="F522" s="1">
        <v>45220</v>
      </c>
      <c r="G522" s="1">
        <v>45245</v>
      </c>
      <c r="H522">
        <v>396</v>
      </c>
      <c r="I522">
        <v>4.3</v>
      </c>
      <c r="J522">
        <v>0</v>
      </c>
      <c r="K522" t="str">
        <f>IF(customer[[#This Row],[IsChurned]]=1,"Churned","Active")</f>
        <v>Active</v>
      </c>
      <c r="L522" t="str">
        <f>TEXT(customer[[#This Row],[SubscriptionDate]],"mmm-yyyy")</f>
        <v>Oct-2023</v>
      </c>
      <c r="M522" s="1">
        <f ca="1">TODAY()-customer[[#This Row],[LastLoginDate]]</f>
        <v>798</v>
      </c>
    </row>
    <row r="523" spans="1:13" x14ac:dyDescent="0.3">
      <c r="A523">
        <v>522</v>
      </c>
      <c r="B523" t="s">
        <v>536</v>
      </c>
      <c r="C523">
        <v>48</v>
      </c>
      <c r="D523" t="s">
        <v>11</v>
      </c>
      <c r="E523" t="s">
        <v>12</v>
      </c>
      <c r="F523" s="1">
        <v>44592</v>
      </c>
      <c r="G523" s="1">
        <v>44877</v>
      </c>
      <c r="H523">
        <v>130</v>
      </c>
      <c r="I523">
        <v>1.5</v>
      </c>
      <c r="J523">
        <v>1</v>
      </c>
      <c r="K523" t="str">
        <f>IF(customer[[#This Row],[IsChurned]]=1,"Churned","Active")</f>
        <v>Churned</v>
      </c>
      <c r="L523" t="str">
        <f>TEXT(customer[[#This Row],[SubscriptionDate]],"mmm-yyyy")</f>
        <v>Jan-2022</v>
      </c>
      <c r="M523" s="1">
        <f ca="1">TODAY()-customer[[#This Row],[LastLoginDate]]</f>
        <v>1166</v>
      </c>
    </row>
    <row r="524" spans="1:13" x14ac:dyDescent="0.3">
      <c r="A524">
        <v>523</v>
      </c>
      <c r="B524" t="s">
        <v>537</v>
      </c>
      <c r="C524">
        <v>18</v>
      </c>
      <c r="D524" t="s">
        <v>11</v>
      </c>
      <c r="E524" t="s">
        <v>15</v>
      </c>
      <c r="F524" s="1">
        <v>45127</v>
      </c>
      <c r="G524" s="1">
        <v>45298</v>
      </c>
      <c r="H524">
        <v>359</v>
      </c>
      <c r="I524">
        <v>4.5</v>
      </c>
      <c r="J524">
        <v>0</v>
      </c>
      <c r="K524" t="str">
        <f>IF(customer[[#This Row],[IsChurned]]=1,"Churned","Active")</f>
        <v>Active</v>
      </c>
      <c r="L524" t="str">
        <f>TEXT(customer[[#This Row],[SubscriptionDate]],"mmm-yyyy")</f>
        <v>Jul-2023</v>
      </c>
      <c r="M524" s="1">
        <f ca="1">TODAY()-customer[[#This Row],[LastLoginDate]]</f>
        <v>745</v>
      </c>
    </row>
    <row r="525" spans="1:13" x14ac:dyDescent="0.3">
      <c r="A525">
        <v>524</v>
      </c>
      <c r="B525" t="s">
        <v>538</v>
      </c>
      <c r="C525">
        <v>57</v>
      </c>
      <c r="D525" t="s">
        <v>14</v>
      </c>
      <c r="E525" t="s">
        <v>12</v>
      </c>
      <c r="F525" s="1">
        <v>44918</v>
      </c>
      <c r="G525" s="1">
        <v>44974</v>
      </c>
      <c r="H525">
        <v>333</v>
      </c>
      <c r="I525">
        <v>4.2</v>
      </c>
      <c r="J525">
        <v>1</v>
      </c>
      <c r="K525" t="str">
        <f>IF(customer[[#This Row],[IsChurned]]=1,"Churned","Active")</f>
        <v>Churned</v>
      </c>
      <c r="L525" t="str">
        <f>TEXT(customer[[#This Row],[SubscriptionDate]],"mmm-yyyy")</f>
        <v>Dec-2022</v>
      </c>
      <c r="M525" s="1">
        <f ca="1">TODAY()-customer[[#This Row],[LastLoginDate]]</f>
        <v>1069</v>
      </c>
    </row>
    <row r="526" spans="1:13" x14ac:dyDescent="0.3">
      <c r="A526">
        <v>525</v>
      </c>
      <c r="B526" t="s">
        <v>539</v>
      </c>
      <c r="C526">
        <v>65</v>
      </c>
      <c r="D526" t="s">
        <v>11</v>
      </c>
      <c r="E526" t="s">
        <v>12</v>
      </c>
      <c r="F526" s="1">
        <v>44873</v>
      </c>
      <c r="G526" s="1">
        <v>45134</v>
      </c>
      <c r="H526">
        <v>258</v>
      </c>
      <c r="I526">
        <v>3.4</v>
      </c>
      <c r="J526">
        <v>0</v>
      </c>
      <c r="K526" t="str">
        <f>IF(customer[[#This Row],[IsChurned]]=1,"Churned","Active")</f>
        <v>Active</v>
      </c>
      <c r="L526" t="str">
        <f>TEXT(customer[[#This Row],[SubscriptionDate]],"mmm-yyyy")</f>
        <v>Nov-2022</v>
      </c>
      <c r="M526" s="1">
        <f ca="1">TODAY()-customer[[#This Row],[LastLoginDate]]</f>
        <v>909</v>
      </c>
    </row>
    <row r="527" spans="1:13" x14ac:dyDescent="0.3">
      <c r="A527">
        <v>526</v>
      </c>
      <c r="B527" t="s">
        <v>540</v>
      </c>
      <c r="C527">
        <v>58</v>
      </c>
      <c r="D527" t="s">
        <v>11</v>
      </c>
      <c r="E527" t="s">
        <v>15</v>
      </c>
      <c r="F527" s="1">
        <v>45038</v>
      </c>
      <c r="G527" s="1">
        <v>45299</v>
      </c>
      <c r="H527">
        <v>68</v>
      </c>
      <c r="I527">
        <v>3.4</v>
      </c>
      <c r="J527">
        <v>1</v>
      </c>
      <c r="K527" t="str">
        <f>IF(customer[[#This Row],[IsChurned]]=1,"Churned","Active")</f>
        <v>Churned</v>
      </c>
      <c r="L527" t="str">
        <f>TEXT(customer[[#This Row],[SubscriptionDate]],"mmm-yyyy")</f>
        <v>Apr-2023</v>
      </c>
      <c r="M527" s="1">
        <f ca="1">TODAY()-customer[[#This Row],[LastLoginDate]]</f>
        <v>744</v>
      </c>
    </row>
    <row r="528" spans="1:13" x14ac:dyDescent="0.3">
      <c r="A528">
        <v>527</v>
      </c>
      <c r="B528" t="s">
        <v>541</v>
      </c>
      <c r="C528">
        <v>28</v>
      </c>
      <c r="D528" t="s">
        <v>11</v>
      </c>
      <c r="E528" t="s">
        <v>12</v>
      </c>
      <c r="F528" s="1">
        <v>45434</v>
      </c>
      <c r="G528" s="1">
        <v>45745</v>
      </c>
      <c r="H528">
        <v>159</v>
      </c>
      <c r="I528">
        <v>2.5</v>
      </c>
      <c r="J528">
        <v>0</v>
      </c>
      <c r="K528" t="str">
        <f>IF(customer[[#This Row],[IsChurned]]=1,"Churned","Active")</f>
        <v>Active</v>
      </c>
      <c r="L528" t="str">
        <f>TEXT(customer[[#This Row],[SubscriptionDate]],"mmm-yyyy")</f>
        <v>May-2024</v>
      </c>
      <c r="M528" s="1">
        <f ca="1">TODAY()-customer[[#This Row],[LastLoginDate]]</f>
        <v>298</v>
      </c>
    </row>
    <row r="529" spans="1:13" x14ac:dyDescent="0.3">
      <c r="A529">
        <v>528</v>
      </c>
      <c r="B529" t="s">
        <v>542</v>
      </c>
      <c r="C529">
        <v>44</v>
      </c>
      <c r="D529" t="s">
        <v>14</v>
      </c>
      <c r="E529" t="s">
        <v>18</v>
      </c>
      <c r="F529" s="1">
        <v>45195</v>
      </c>
      <c r="G529" s="1">
        <v>45378</v>
      </c>
      <c r="H529">
        <v>134</v>
      </c>
      <c r="I529">
        <v>2</v>
      </c>
      <c r="J529">
        <v>0</v>
      </c>
      <c r="K529" t="str">
        <f>IF(customer[[#This Row],[IsChurned]]=1,"Churned","Active")</f>
        <v>Active</v>
      </c>
      <c r="L529" t="str">
        <f>TEXT(customer[[#This Row],[SubscriptionDate]],"mmm-yyyy")</f>
        <v>Sep-2023</v>
      </c>
      <c r="M529" s="1">
        <f ca="1">TODAY()-customer[[#This Row],[LastLoginDate]]</f>
        <v>665</v>
      </c>
    </row>
    <row r="530" spans="1:13" x14ac:dyDescent="0.3">
      <c r="A530">
        <v>529</v>
      </c>
      <c r="B530" t="s">
        <v>543</v>
      </c>
      <c r="C530">
        <v>54</v>
      </c>
      <c r="D530" t="s">
        <v>11</v>
      </c>
      <c r="E530" t="s">
        <v>15</v>
      </c>
      <c r="F530" s="1">
        <v>44581</v>
      </c>
      <c r="G530" s="1">
        <v>44701</v>
      </c>
      <c r="H530">
        <v>48</v>
      </c>
      <c r="I530">
        <v>4.7</v>
      </c>
      <c r="J530">
        <v>1</v>
      </c>
      <c r="K530" t="str">
        <f>IF(customer[[#This Row],[IsChurned]]=1,"Churned","Active")</f>
        <v>Churned</v>
      </c>
      <c r="L530" t="str">
        <f>TEXT(customer[[#This Row],[SubscriptionDate]],"mmm-yyyy")</f>
        <v>Jan-2022</v>
      </c>
      <c r="M530" s="1">
        <f ca="1">TODAY()-customer[[#This Row],[LastLoginDate]]</f>
        <v>1342</v>
      </c>
    </row>
    <row r="531" spans="1:13" x14ac:dyDescent="0.3">
      <c r="A531">
        <v>530</v>
      </c>
      <c r="B531" t="s">
        <v>544</v>
      </c>
      <c r="C531">
        <v>23</v>
      </c>
      <c r="D531" t="s">
        <v>11</v>
      </c>
      <c r="E531" t="s">
        <v>12</v>
      </c>
      <c r="F531" s="1">
        <v>44889</v>
      </c>
      <c r="G531" s="1">
        <v>45218</v>
      </c>
      <c r="H531">
        <v>7</v>
      </c>
      <c r="I531">
        <v>1.3</v>
      </c>
      <c r="J531">
        <v>1</v>
      </c>
      <c r="K531" t="str">
        <f>IF(customer[[#This Row],[IsChurned]]=1,"Churned","Active")</f>
        <v>Churned</v>
      </c>
      <c r="L531" t="str">
        <f>TEXT(customer[[#This Row],[SubscriptionDate]],"mmm-yyyy")</f>
        <v>Nov-2022</v>
      </c>
      <c r="M531" s="1">
        <f ca="1">TODAY()-customer[[#This Row],[LastLoginDate]]</f>
        <v>825</v>
      </c>
    </row>
    <row r="532" spans="1:13" x14ac:dyDescent="0.3">
      <c r="A532">
        <v>531</v>
      </c>
      <c r="B532" t="s">
        <v>545</v>
      </c>
      <c r="C532">
        <v>18</v>
      </c>
      <c r="D532" t="s">
        <v>14</v>
      </c>
      <c r="E532" t="s">
        <v>18</v>
      </c>
      <c r="F532" s="1">
        <v>45214</v>
      </c>
      <c r="G532" s="1">
        <v>45216</v>
      </c>
      <c r="H532">
        <v>495</v>
      </c>
      <c r="I532">
        <v>4.2</v>
      </c>
      <c r="J532">
        <v>1</v>
      </c>
      <c r="K532" t="str">
        <f>IF(customer[[#This Row],[IsChurned]]=1,"Churned","Active")</f>
        <v>Churned</v>
      </c>
      <c r="L532" t="str">
        <f>TEXT(customer[[#This Row],[SubscriptionDate]],"mmm-yyyy")</f>
        <v>Oct-2023</v>
      </c>
      <c r="M532" s="1">
        <f ca="1">TODAY()-customer[[#This Row],[LastLoginDate]]</f>
        <v>827</v>
      </c>
    </row>
    <row r="533" spans="1:13" x14ac:dyDescent="0.3">
      <c r="A533">
        <v>532</v>
      </c>
      <c r="B533" t="s">
        <v>546</v>
      </c>
      <c r="C533">
        <v>45</v>
      </c>
      <c r="D533" t="s">
        <v>14</v>
      </c>
      <c r="E533" t="s">
        <v>12</v>
      </c>
      <c r="F533" s="1">
        <v>45008</v>
      </c>
      <c r="G533" s="1">
        <v>45293</v>
      </c>
      <c r="H533">
        <v>82</v>
      </c>
      <c r="I533">
        <v>3.9</v>
      </c>
      <c r="J533">
        <v>1</v>
      </c>
      <c r="K533" t="str">
        <f>IF(customer[[#This Row],[IsChurned]]=1,"Churned","Active")</f>
        <v>Churned</v>
      </c>
      <c r="L533" t="str">
        <f>TEXT(customer[[#This Row],[SubscriptionDate]],"mmm-yyyy")</f>
        <v>Mar-2023</v>
      </c>
      <c r="M533" s="1">
        <f ca="1">TODAY()-customer[[#This Row],[LastLoginDate]]</f>
        <v>750</v>
      </c>
    </row>
    <row r="534" spans="1:13" x14ac:dyDescent="0.3">
      <c r="A534">
        <v>533</v>
      </c>
      <c r="B534" t="s">
        <v>547</v>
      </c>
      <c r="C534">
        <v>43</v>
      </c>
      <c r="D534" t="s">
        <v>14</v>
      </c>
      <c r="E534" t="s">
        <v>18</v>
      </c>
      <c r="F534" s="1">
        <v>44708</v>
      </c>
      <c r="G534" s="1">
        <v>44807</v>
      </c>
      <c r="H534">
        <v>215</v>
      </c>
      <c r="I534">
        <v>3.7</v>
      </c>
      <c r="J534">
        <v>0</v>
      </c>
      <c r="K534" t="str">
        <f>IF(customer[[#This Row],[IsChurned]]=1,"Churned","Active")</f>
        <v>Active</v>
      </c>
      <c r="L534" t="str">
        <f>TEXT(customer[[#This Row],[SubscriptionDate]],"mmm-yyyy")</f>
        <v>May-2022</v>
      </c>
      <c r="M534" s="1">
        <f ca="1">TODAY()-customer[[#This Row],[LastLoginDate]]</f>
        <v>1236</v>
      </c>
    </row>
    <row r="535" spans="1:13" x14ac:dyDescent="0.3">
      <c r="A535">
        <v>534</v>
      </c>
      <c r="B535" t="s">
        <v>548</v>
      </c>
      <c r="C535">
        <v>65</v>
      </c>
      <c r="D535" t="s">
        <v>14</v>
      </c>
      <c r="E535" t="s">
        <v>18</v>
      </c>
      <c r="F535" s="1">
        <v>44853</v>
      </c>
      <c r="G535" s="1">
        <v>45124</v>
      </c>
      <c r="H535">
        <v>146</v>
      </c>
      <c r="I535">
        <v>1.8</v>
      </c>
      <c r="J535">
        <v>0</v>
      </c>
      <c r="K535" t="str">
        <f>IF(customer[[#This Row],[IsChurned]]=1,"Churned","Active")</f>
        <v>Active</v>
      </c>
      <c r="L535" t="str">
        <f>TEXT(customer[[#This Row],[SubscriptionDate]],"mmm-yyyy")</f>
        <v>Oct-2022</v>
      </c>
      <c r="M535" s="1">
        <f ca="1">TODAY()-customer[[#This Row],[LastLoginDate]]</f>
        <v>919</v>
      </c>
    </row>
    <row r="536" spans="1:13" x14ac:dyDescent="0.3">
      <c r="A536">
        <v>535</v>
      </c>
      <c r="B536" t="s">
        <v>549</v>
      </c>
      <c r="C536">
        <v>28</v>
      </c>
      <c r="D536" t="s">
        <v>11</v>
      </c>
      <c r="E536" t="s">
        <v>12</v>
      </c>
      <c r="F536" s="1">
        <v>44995</v>
      </c>
      <c r="G536" s="1">
        <v>45287</v>
      </c>
      <c r="H536">
        <v>328</v>
      </c>
      <c r="I536">
        <v>2.6</v>
      </c>
      <c r="J536">
        <v>0</v>
      </c>
      <c r="K536" t="str">
        <f>IF(customer[[#This Row],[IsChurned]]=1,"Churned","Active")</f>
        <v>Active</v>
      </c>
      <c r="L536" t="str">
        <f>TEXT(customer[[#This Row],[SubscriptionDate]],"mmm-yyyy")</f>
        <v>Mar-2023</v>
      </c>
      <c r="M536" s="1">
        <f ca="1">TODAY()-customer[[#This Row],[LastLoginDate]]</f>
        <v>756</v>
      </c>
    </row>
    <row r="537" spans="1:13" x14ac:dyDescent="0.3">
      <c r="A537">
        <v>536</v>
      </c>
      <c r="B537" t="s">
        <v>550</v>
      </c>
      <c r="C537">
        <v>63</v>
      </c>
      <c r="D537" t="s">
        <v>11</v>
      </c>
      <c r="E537" t="s">
        <v>12</v>
      </c>
      <c r="F537" s="1">
        <v>45063</v>
      </c>
      <c r="G537" s="1">
        <v>45220</v>
      </c>
      <c r="H537">
        <v>65</v>
      </c>
      <c r="I537">
        <v>3</v>
      </c>
      <c r="J537">
        <v>0</v>
      </c>
      <c r="K537" t="str">
        <f>IF(customer[[#This Row],[IsChurned]]=1,"Churned","Active")</f>
        <v>Active</v>
      </c>
      <c r="L537" t="str">
        <f>TEXT(customer[[#This Row],[SubscriptionDate]],"mmm-yyyy")</f>
        <v>May-2023</v>
      </c>
      <c r="M537" s="1">
        <f ca="1">TODAY()-customer[[#This Row],[LastLoginDate]]</f>
        <v>823</v>
      </c>
    </row>
    <row r="538" spans="1:13" x14ac:dyDescent="0.3">
      <c r="A538">
        <v>537</v>
      </c>
      <c r="B538" t="s">
        <v>551</v>
      </c>
      <c r="C538">
        <v>59</v>
      </c>
      <c r="D538" t="s">
        <v>14</v>
      </c>
      <c r="E538" t="s">
        <v>12</v>
      </c>
      <c r="F538" s="1">
        <v>45324</v>
      </c>
      <c r="G538" s="1">
        <v>45367</v>
      </c>
      <c r="H538">
        <v>78</v>
      </c>
      <c r="I538">
        <v>3.2</v>
      </c>
      <c r="J538">
        <v>0</v>
      </c>
      <c r="K538" t="str">
        <f>IF(customer[[#This Row],[IsChurned]]=1,"Churned","Active")</f>
        <v>Active</v>
      </c>
      <c r="L538" t="str">
        <f>TEXT(customer[[#This Row],[SubscriptionDate]],"mmm-yyyy")</f>
        <v>Feb-2024</v>
      </c>
      <c r="M538" s="1">
        <f ca="1">TODAY()-customer[[#This Row],[LastLoginDate]]</f>
        <v>676</v>
      </c>
    </row>
    <row r="539" spans="1:13" x14ac:dyDescent="0.3">
      <c r="A539">
        <v>538</v>
      </c>
      <c r="B539" t="s">
        <v>552</v>
      </c>
      <c r="C539">
        <v>46</v>
      </c>
      <c r="D539" t="s">
        <v>14</v>
      </c>
      <c r="E539" t="s">
        <v>12</v>
      </c>
      <c r="F539" s="1">
        <v>44759</v>
      </c>
      <c r="G539" s="1">
        <v>44870</v>
      </c>
      <c r="H539">
        <v>319</v>
      </c>
      <c r="I539">
        <v>1.9</v>
      </c>
      <c r="J539">
        <v>1</v>
      </c>
      <c r="K539" t="str">
        <f>IF(customer[[#This Row],[IsChurned]]=1,"Churned","Active")</f>
        <v>Churned</v>
      </c>
      <c r="L539" t="str">
        <f>TEXT(customer[[#This Row],[SubscriptionDate]],"mmm-yyyy")</f>
        <v>Jul-2022</v>
      </c>
      <c r="M539" s="1">
        <f ca="1">TODAY()-customer[[#This Row],[LastLoginDate]]</f>
        <v>1173</v>
      </c>
    </row>
    <row r="540" spans="1:13" x14ac:dyDescent="0.3">
      <c r="A540">
        <v>539</v>
      </c>
      <c r="B540" t="s">
        <v>553</v>
      </c>
      <c r="C540">
        <v>27</v>
      </c>
      <c r="D540" t="s">
        <v>11</v>
      </c>
      <c r="E540" t="s">
        <v>15</v>
      </c>
      <c r="F540" s="1">
        <v>45273</v>
      </c>
      <c r="G540" s="1">
        <v>45634</v>
      </c>
      <c r="H540">
        <v>304</v>
      </c>
      <c r="I540">
        <v>2.8</v>
      </c>
      <c r="J540">
        <v>1</v>
      </c>
      <c r="K540" t="str">
        <f>IF(customer[[#This Row],[IsChurned]]=1,"Churned","Active")</f>
        <v>Churned</v>
      </c>
      <c r="L540" t="str">
        <f>TEXT(customer[[#This Row],[SubscriptionDate]],"mmm-yyyy")</f>
        <v>Dec-2023</v>
      </c>
      <c r="M540" s="1">
        <f ca="1">TODAY()-customer[[#This Row],[LastLoginDate]]</f>
        <v>409</v>
      </c>
    </row>
    <row r="541" spans="1:13" x14ac:dyDescent="0.3">
      <c r="A541">
        <v>540</v>
      </c>
      <c r="B541" t="s">
        <v>554</v>
      </c>
      <c r="C541">
        <v>43</v>
      </c>
      <c r="D541" t="s">
        <v>14</v>
      </c>
      <c r="E541" t="s">
        <v>15</v>
      </c>
      <c r="F541" s="1">
        <v>44840</v>
      </c>
      <c r="G541" s="1">
        <v>44861</v>
      </c>
      <c r="H541">
        <v>200</v>
      </c>
      <c r="I541">
        <v>2.4</v>
      </c>
      <c r="J541">
        <v>0</v>
      </c>
      <c r="K541" t="str">
        <f>IF(customer[[#This Row],[IsChurned]]=1,"Churned","Active")</f>
        <v>Active</v>
      </c>
      <c r="L541" t="str">
        <f>TEXT(customer[[#This Row],[SubscriptionDate]],"mmm-yyyy")</f>
        <v>Oct-2022</v>
      </c>
      <c r="M541" s="1">
        <f ca="1">TODAY()-customer[[#This Row],[LastLoginDate]]</f>
        <v>1182</v>
      </c>
    </row>
    <row r="542" spans="1:13" x14ac:dyDescent="0.3">
      <c r="A542">
        <v>541</v>
      </c>
      <c r="B542" t="s">
        <v>555</v>
      </c>
      <c r="C542">
        <v>19</v>
      </c>
      <c r="D542" t="s">
        <v>14</v>
      </c>
      <c r="E542" t="s">
        <v>12</v>
      </c>
      <c r="F542" s="1">
        <v>45098</v>
      </c>
      <c r="G542" s="1">
        <v>45403</v>
      </c>
      <c r="H542">
        <v>75</v>
      </c>
      <c r="I542">
        <v>4.7</v>
      </c>
      <c r="J542">
        <v>1</v>
      </c>
      <c r="K542" t="str">
        <f>IF(customer[[#This Row],[IsChurned]]=1,"Churned","Active")</f>
        <v>Churned</v>
      </c>
      <c r="L542" t="str">
        <f>TEXT(customer[[#This Row],[SubscriptionDate]],"mmm-yyyy")</f>
        <v>Jun-2023</v>
      </c>
      <c r="M542" s="1">
        <f ca="1">TODAY()-customer[[#This Row],[LastLoginDate]]</f>
        <v>640</v>
      </c>
    </row>
    <row r="543" spans="1:13" x14ac:dyDescent="0.3">
      <c r="A543">
        <v>542</v>
      </c>
      <c r="B543" t="s">
        <v>556</v>
      </c>
      <c r="C543">
        <v>64</v>
      </c>
      <c r="D543" t="s">
        <v>11</v>
      </c>
      <c r="E543" t="s">
        <v>18</v>
      </c>
      <c r="F543" s="1">
        <v>45217</v>
      </c>
      <c r="G543" s="1">
        <v>45546</v>
      </c>
      <c r="H543">
        <v>466</v>
      </c>
      <c r="I543">
        <v>3.3</v>
      </c>
      <c r="J543">
        <v>0</v>
      </c>
      <c r="K543" t="str">
        <f>IF(customer[[#This Row],[IsChurned]]=1,"Churned","Active")</f>
        <v>Active</v>
      </c>
      <c r="L543" t="str">
        <f>TEXT(customer[[#This Row],[SubscriptionDate]],"mmm-yyyy")</f>
        <v>Oct-2023</v>
      </c>
      <c r="M543" s="1">
        <f ca="1">TODAY()-customer[[#This Row],[LastLoginDate]]</f>
        <v>497</v>
      </c>
    </row>
    <row r="544" spans="1:13" x14ac:dyDescent="0.3">
      <c r="A544">
        <v>543</v>
      </c>
      <c r="B544" t="s">
        <v>557</v>
      </c>
      <c r="C544">
        <v>44</v>
      </c>
      <c r="D544" t="s">
        <v>14</v>
      </c>
      <c r="E544" t="s">
        <v>12</v>
      </c>
      <c r="F544" s="1">
        <v>45170</v>
      </c>
      <c r="G544" s="1">
        <v>45199</v>
      </c>
      <c r="H544">
        <v>46</v>
      </c>
      <c r="I544">
        <v>3.9</v>
      </c>
      <c r="J544">
        <v>0</v>
      </c>
      <c r="K544" t="str">
        <f>IF(customer[[#This Row],[IsChurned]]=1,"Churned","Active")</f>
        <v>Active</v>
      </c>
      <c r="L544" t="str">
        <f>TEXT(customer[[#This Row],[SubscriptionDate]],"mmm-yyyy")</f>
        <v>Sep-2023</v>
      </c>
      <c r="M544" s="1">
        <f ca="1">TODAY()-customer[[#This Row],[LastLoginDate]]</f>
        <v>844</v>
      </c>
    </row>
    <row r="545" spans="1:13" x14ac:dyDescent="0.3">
      <c r="A545">
        <v>544</v>
      </c>
      <c r="B545" t="s">
        <v>558</v>
      </c>
      <c r="C545">
        <v>55</v>
      </c>
      <c r="D545" t="s">
        <v>11</v>
      </c>
      <c r="E545" t="s">
        <v>15</v>
      </c>
      <c r="F545" s="1">
        <v>45459</v>
      </c>
      <c r="G545" s="1">
        <v>45749</v>
      </c>
      <c r="H545">
        <v>219</v>
      </c>
      <c r="I545">
        <v>2.8</v>
      </c>
      <c r="J545">
        <v>0</v>
      </c>
      <c r="K545" t="str">
        <f>IF(customer[[#This Row],[IsChurned]]=1,"Churned","Active")</f>
        <v>Active</v>
      </c>
      <c r="L545" t="str">
        <f>TEXT(customer[[#This Row],[SubscriptionDate]],"mmm-yyyy")</f>
        <v>Jun-2024</v>
      </c>
      <c r="M545" s="1">
        <f ca="1">TODAY()-customer[[#This Row],[LastLoginDate]]</f>
        <v>294</v>
      </c>
    </row>
    <row r="546" spans="1:13" x14ac:dyDescent="0.3">
      <c r="A546">
        <v>545</v>
      </c>
      <c r="B546" t="s">
        <v>559</v>
      </c>
      <c r="C546">
        <v>33</v>
      </c>
      <c r="D546" t="s">
        <v>14</v>
      </c>
      <c r="E546" t="s">
        <v>15</v>
      </c>
      <c r="F546" s="1">
        <v>44577</v>
      </c>
      <c r="G546" s="1">
        <v>44923</v>
      </c>
      <c r="H546">
        <v>129</v>
      </c>
      <c r="I546">
        <v>2.8</v>
      </c>
      <c r="J546">
        <v>0</v>
      </c>
      <c r="K546" t="str">
        <f>IF(customer[[#This Row],[IsChurned]]=1,"Churned","Active")</f>
        <v>Active</v>
      </c>
      <c r="L546" t="str">
        <f>TEXT(customer[[#This Row],[SubscriptionDate]],"mmm-yyyy")</f>
        <v>Jan-2022</v>
      </c>
      <c r="M546" s="1">
        <f ca="1">TODAY()-customer[[#This Row],[LastLoginDate]]</f>
        <v>1120</v>
      </c>
    </row>
    <row r="547" spans="1:13" x14ac:dyDescent="0.3">
      <c r="A547">
        <v>546</v>
      </c>
      <c r="B547" t="s">
        <v>560</v>
      </c>
      <c r="C547">
        <v>42</v>
      </c>
      <c r="D547" t="s">
        <v>11</v>
      </c>
      <c r="E547" t="s">
        <v>15</v>
      </c>
      <c r="F547" s="1">
        <v>45099</v>
      </c>
      <c r="G547" s="1">
        <v>45382</v>
      </c>
      <c r="H547">
        <v>22</v>
      </c>
      <c r="I547">
        <v>3</v>
      </c>
      <c r="J547">
        <v>0</v>
      </c>
      <c r="K547" t="str">
        <f>IF(customer[[#This Row],[IsChurned]]=1,"Churned","Active")</f>
        <v>Active</v>
      </c>
      <c r="L547" t="str">
        <f>TEXT(customer[[#This Row],[SubscriptionDate]],"mmm-yyyy")</f>
        <v>Jun-2023</v>
      </c>
      <c r="M547" s="1">
        <f ca="1">TODAY()-customer[[#This Row],[LastLoginDate]]</f>
        <v>661</v>
      </c>
    </row>
    <row r="548" spans="1:13" x14ac:dyDescent="0.3">
      <c r="A548">
        <v>547</v>
      </c>
      <c r="B548" t="s">
        <v>561</v>
      </c>
      <c r="C548">
        <v>18</v>
      </c>
      <c r="D548" t="s">
        <v>11</v>
      </c>
      <c r="E548" t="s">
        <v>12</v>
      </c>
      <c r="F548" s="1">
        <v>44687</v>
      </c>
      <c r="G548" s="1">
        <v>44920</v>
      </c>
      <c r="H548">
        <v>16</v>
      </c>
      <c r="I548">
        <v>3.2</v>
      </c>
      <c r="J548">
        <v>1</v>
      </c>
      <c r="K548" t="str">
        <f>IF(customer[[#This Row],[IsChurned]]=1,"Churned","Active")</f>
        <v>Churned</v>
      </c>
      <c r="L548" t="str">
        <f>TEXT(customer[[#This Row],[SubscriptionDate]],"mmm-yyyy")</f>
        <v>May-2022</v>
      </c>
      <c r="M548" s="1">
        <f ca="1">TODAY()-customer[[#This Row],[LastLoginDate]]</f>
        <v>1123</v>
      </c>
    </row>
    <row r="549" spans="1:13" x14ac:dyDescent="0.3">
      <c r="A549">
        <v>548</v>
      </c>
      <c r="B549" t="s">
        <v>562</v>
      </c>
      <c r="C549">
        <v>31</v>
      </c>
      <c r="D549" t="s">
        <v>11</v>
      </c>
      <c r="E549" t="s">
        <v>15</v>
      </c>
      <c r="F549" s="1">
        <v>44747</v>
      </c>
      <c r="G549" s="1">
        <v>44984</v>
      </c>
      <c r="H549">
        <v>140</v>
      </c>
      <c r="I549">
        <v>1.9</v>
      </c>
      <c r="J549">
        <v>1</v>
      </c>
      <c r="K549" t="str">
        <f>IF(customer[[#This Row],[IsChurned]]=1,"Churned","Active")</f>
        <v>Churned</v>
      </c>
      <c r="L549" t="str">
        <f>TEXT(customer[[#This Row],[SubscriptionDate]],"mmm-yyyy")</f>
        <v>Jul-2022</v>
      </c>
      <c r="M549" s="1">
        <f ca="1">TODAY()-customer[[#This Row],[LastLoginDate]]</f>
        <v>1059</v>
      </c>
    </row>
    <row r="550" spans="1:13" x14ac:dyDescent="0.3">
      <c r="A550">
        <v>549</v>
      </c>
      <c r="B550" t="s">
        <v>563</v>
      </c>
      <c r="C550">
        <v>63</v>
      </c>
      <c r="D550" t="s">
        <v>11</v>
      </c>
      <c r="E550" t="s">
        <v>18</v>
      </c>
      <c r="F550" s="1">
        <v>45044</v>
      </c>
      <c r="G550" s="1">
        <v>45259</v>
      </c>
      <c r="H550">
        <v>235</v>
      </c>
      <c r="I550">
        <v>3.9</v>
      </c>
      <c r="J550">
        <v>1</v>
      </c>
      <c r="K550" t="str">
        <f>IF(customer[[#This Row],[IsChurned]]=1,"Churned","Active")</f>
        <v>Churned</v>
      </c>
      <c r="L550" t="str">
        <f>TEXT(customer[[#This Row],[SubscriptionDate]],"mmm-yyyy")</f>
        <v>Apr-2023</v>
      </c>
      <c r="M550" s="1">
        <f ca="1">TODAY()-customer[[#This Row],[LastLoginDate]]</f>
        <v>784</v>
      </c>
    </row>
    <row r="551" spans="1:13" x14ac:dyDescent="0.3">
      <c r="A551">
        <v>550</v>
      </c>
      <c r="B551" t="s">
        <v>564</v>
      </c>
      <c r="C551">
        <v>32</v>
      </c>
      <c r="D551" t="s">
        <v>14</v>
      </c>
      <c r="E551" t="s">
        <v>15</v>
      </c>
      <c r="F551" s="1">
        <v>44910</v>
      </c>
      <c r="G551" s="1">
        <v>44956</v>
      </c>
      <c r="H551">
        <v>216</v>
      </c>
      <c r="I551">
        <v>5</v>
      </c>
      <c r="J551">
        <v>0</v>
      </c>
      <c r="K551" t="str">
        <f>IF(customer[[#This Row],[IsChurned]]=1,"Churned","Active")</f>
        <v>Active</v>
      </c>
      <c r="L551" t="str">
        <f>TEXT(customer[[#This Row],[SubscriptionDate]],"mmm-yyyy")</f>
        <v>Dec-2022</v>
      </c>
      <c r="M551" s="1">
        <f ca="1">TODAY()-customer[[#This Row],[LastLoginDate]]</f>
        <v>1087</v>
      </c>
    </row>
    <row r="552" spans="1:13" x14ac:dyDescent="0.3">
      <c r="A552">
        <v>551</v>
      </c>
      <c r="B552" t="s">
        <v>565</v>
      </c>
      <c r="C552">
        <v>33</v>
      </c>
      <c r="D552" t="s">
        <v>14</v>
      </c>
      <c r="E552" t="s">
        <v>15</v>
      </c>
      <c r="F552" s="1">
        <v>45137</v>
      </c>
      <c r="G552" s="1">
        <v>45213</v>
      </c>
      <c r="H552">
        <v>242</v>
      </c>
      <c r="I552">
        <v>1.3</v>
      </c>
      <c r="J552">
        <v>0</v>
      </c>
      <c r="K552" t="str">
        <f>IF(customer[[#This Row],[IsChurned]]=1,"Churned","Active")</f>
        <v>Active</v>
      </c>
      <c r="L552" t="str">
        <f>TEXT(customer[[#This Row],[SubscriptionDate]],"mmm-yyyy")</f>
        <v>Jul-2023</v>
      </c>
      <c r="M552" s="1">
        <f ca="1">TODAY()-customer[[#This Row],[LastLoginDate]]</f>
        <v>830</v>
      </c>
    </row>
    <row r="553" spans="1:13" x14ac:dyDescent="0.3">
      <c r="A553">
        <v>552</v>
      </c>
      <c r="B553" t="s">
        <v>566</v>
      </c>
      <c r="C553">
        <v>18</v>
      </c>
      <c r="D553" t="s">
        <v>11</v>
      </c>
      <c r="E553" t="s">
        <v>15</v>
      </c>
      <c r="F553" s="1">
        <v>45373</v>
      </c>
      <c r="G553" s="1">
        <v>45508</v>
      </c>
      <c r="H553">
        <v>1</v>
      </c>
      <c r="I553">
        <v>3.7</v>
      </c>
      <c r="J553">
        <v>0</v>
      </c>
      <c r="K553" t="str">
        <f>IF(customer[[#This Row],[IsChurned]]=1,"Churned","Active")</f>
        <v>Active</v>
      </c>
      <c r="L553" t="str">
        <f>TEXT(customer[[#This Row],[SubscriptionDate]],"mmm-yyyy")</f>
        <v>Mar-2024</v>
      </c>
      <c r="M553" s="1">
        <f ca="1">TODAY()-customer[[#This Row],[LastLoginDate]]</f>
        <v>535</v>
      </c>
    </row>
    <row r="554" spans="1:13" x14ac:dyDescent="0.3">
      <c r="A554">
        <v>553</v>
      </c>
      <c r="B554" t="s">
        <v>567</v>
      </c>
      <c r="C554">
        <v>56</v>
      </c>
      <c r="D554" t="s">
        <v>11</v>
      </c>
      <c r="E554" t="s">
        <v>12</v>
      </c>
      <c r="F554" s="1">
        <v>44854</v>
      </c>
      <c r="G554" s="1">
        <v>45160</v>
      </c>
      <c r="H554">
        <v>270</v>
      </c>
      <c r="I554">
        <v>1.5</v>
      </c>
      <c r="J554">
        <v>1</v>
      </c>
      <c r="K554" t="str">
        <f>IF(customer[[#This Row],[IsChurned]]=1,"Churned","Active")</f>
        <v>Churned</v>
      </c>
      <c r="L554" t="str">
        <f>TEXT(customer[[#This Row],[SubscriptionDate]],"mmm-yyyy")</f>
        <v>Oct-2022</v>
      </c>
      <c r="M554" s="1">
        <f ca="1">TODAY()-customer[[#This Row],[LastLoginDate]]</f>
        <v>883</v>
      </c>
    </row>
    <row r="555" spans="1:13" x14ac:dyDescent="0.3">
      <c r="A555">
        <v>554</v>
      </c>
      <c r="B555" t="s">
        <v>568</v>
      </c>
      <c r="C555">
        <v>21</v>
      </c>
      <c r="D555" t="s">
        <v>14</v>
      </c>
      <c r="E555" t="s">
        <v>15</v>
      </c>
      <c r="F555" s="1">
        <v>45243</v>
      </c>
      <c r="G555" s="1">
        <v>45297</v>
      </c>
      <c r="H555">
        <v>189</v>
      </c>
      <c r="I555">
        <v>1.1000000000000001</v>
      </c>
      <c r="J555">
        <v>1</v>
      </c>
      <c r="K555" t="str">
        <f>IF(customer[[#This Row],[IsChurned]]=1,"Churned","Active")</f>
        <v>Churned</v>
      </c>
      <c r="L555" t="str">
        <f>TEXT(customer[[#This Row],[SubscriptionDate]],"mmm-yyyy")</f>
        <v>Nov-2023</v>
      </c>
      <c r="M555" s="1">
        <f ca="1">TODAY()-customer[[#This Row],[LastLoginDate]]</f>
        <v>746</v>
      </c>
    </row>
    <row r="556" spans="1:13" x14ac:dyDescent="0.3">
      <c r="A556">
        <v>555</v>
      </c>
      <c r="B556" t="s">
        <v>569</v>
      </c>
      <c r="C556">
        <v>42</v>
      </c>
      <c r="D556" t="s">
        <v>14</v>
      </c>
      <c r="E556" t="s">
        <v>18</v>
      </c>
      <c r="F556" s="1">
        <v>44865</v>
      </c>
      <c r="G556" s="1">
        <v>45096</v>
      </c>
      <c r="H556">
        <v>23</v>
      </c>
      <c r="I556">
        <v>4.9000000000000004</v>
      </c>
      <c r="J556">
        <v>1</v>
      </c>
      <c r="K556" t="str">
        <f>IF(customer[[#This Row],[IsChurned]]=1,"Churned","Active")</f>
        <v>Churned</v>
      </c>
      <c r="L556" t="str">
        <f>TEXT(customer[[#This Row],[SubscriptionDate]],"mmm-yyyy")</f>
        <v>Oct-2022</v>
      </c>
      <c r="M556" s="1">
        <f ca="1">TODAY()-customer[[#This Row],[LastLoginDate]]</f>
        <v>947</v>
      </c>
    </row>
    <row r="557" spans="1:13" x14ac:dyDescent="0.3">
      <c r="A557">
        <v>556</v>
      </c>
      <c r="B557" t="s">
        <v>570</v>
      </c>
      <c r="C557">
        <v>31</v>
      </c>
      <c r="D557" t="s">
        <v>11</v>
      </c>
      <c r="E557" t="s">
        <v>15</v>
      </c>
      <c r="F557" s="1">
        <v>45308</v>
      </c>
      <c r="G557" s="1">
        <v>45325</v>
      </c>
      <c r="H557">
        <v>328</v>
      </c>
      <c r="I557">
        <v>3.6</v>
      </c>
      <c r="J557">
        <v>1</v>
      </c>
      <c r="K557" t="str">
        <f>IF(customer[[#This Row],[IsChurned]]=1,"Churned","Active")</f>
        <v>Churned</v>
      </c>
      <c r="L557" t="str">
        <f>TEXT(customer[[#This Row],[SubscriptionDate]],"mmm-yyyy")</f>
        <v>Jan-2024</v>
      </c>
      <c r="M557" s="1">
        <f ca="1">TODAY()-customer[[#This Row],[LastLoginDate]]</f>
        <v>718</v>
      </c>
    </row>
    <row r="558" spans="1:13" x14ac:dyDescent="0.3">
      <c r="A558">
        <v>557</v>
      </c>
      <c r="B558" t="s">
        <v>571</v>
      </c>
      <c r="C558">
        <v>51</v>
      </c>
      <c r="D558" t="s">
        <v>11</v>
      </c>
      <c r="E558" t="s">
        <v>18</v>
      </c>
      <c r="F558" s="1">
        <v>44813</v>
      </c>
      <c r="G558" s="1">
        <v>44828</v>
      </c>
      <c r="H558">
        <v>63</v>
      </c>
      <c r="I558">
        <v>4.5999999999999996</v>
      </c>
      <c r="J558">
        <v>1</v>
      </c>
      <c r="K558" t="str">
        <f>IF(customer[[#This Row],[IsChurned]]=1,"Churned","Active")</f>
        <v>Churned</v>
      </c>
      <c r="L558" t="str">
        <f>TEXT(customer[[#This Row],[SubscriptionDate]],"mmm-yyyy")</f>
        <v>Sep-2022</v>
      </c>
      <c r="M558" s="1">
        <f ca="1">TODAY()-customer[[#This Row],[LastLoginDate]]</f>
        <v>1215</v>
      </c>
    </row>
    <row r="559" spans="1:13" x14ac:dyDescent="0.3">
      <c r="A559">
        <v>558</v>
      </c>
      <c r="B559" t="s">
        <v>572</v>
      </c>
      <c r="C559">
        <v>57</v>
      </c>
      <c r="D559" t="s">
        <v>14</v>
      </c>
      <c r="E559" t="s">
        <v>12</v>
      </c>
      <c r="F559" s="1">
        <v>44934</v>
      </c>
      <c r="G559" s="1">
        <v>44943</v>
      </c>
      <c r="H559">
        <v>344</v>
      </c>
      <c r="I559">
        <v>1.4</v>
      </c>
      <c r="J559">
        <v>0</v>
      </c>
      <c r="K559" t="str">
        <f>IF(customer[[#This Row],[IsChurned]]=1,"Churned","Active")</f>
        <v>Active</v>
      </c>
      <c r="L559" t="str">
        <f>TEXT(customer[[#This Row],[SubscriptionDate]],"mmm-yyyy")</f>
        <v>Jan-2023</v>
      </c>
      <c r="M559" s="1">
        <f ca="1">TODAY()-customer[[#This Row],[LastLoginDate]]</f>
        <v>1100</v>
      </c>
    </row>
    <row r="560" spans="1:13" x14ac:dyDescent="0.3">
      <c r="A560">
        <v>559</v>
      </c>
      <c r="B560" t="s">
        <v>573</v>
      </c>
      <c r="C560">
        <v>55</v>
      </c>
      <c r="D560" t="s">
        <v>11</v>
      </c>
      <c r="E560" t="s">
        <v>15</v>
      </c>
      <c r="F560" s="1">
        <v>45310</v>
      </c>
      <c r="G560" s="1">
        <v>45510</v>
      </c>
      <c r="H560">
        <v>11</v>
      </c>
      <c r="I560">
        <v>4.5</v>
      </c>
      <c r="J560">
        <v>0</v>
      </c>
      <c r="K560" t="str">
        <f>IF(customer[[#This Row],[IsChurned]]=1,"Churned","Active")</f>
        <v>Active</v>
      </c>
      <c r="L560" t="str">
        <f>TEXT(customer[[#This Row],[SubscriptionDate]],"mmm-yyyy")</f>
        <v>Jan-2024</v>
      </c>
      <c r="M560" s="1">
        <f ca="1">TODAY()-customer[[#This Row],[LastLoginDate]]</f>
        <v>533</v>
      </c>
    </row>
    <row r="561" spans="1:13" x14ac:dyDescent="0.3">
      <c r="A561">
        <v>560</v>
      </c>
      <c r="B561" t="s">
        <v>574</v>
      </c>
      <c r="C561">
        <v>24</v>
      </c>
      <c r="D561" t="s">
        <v>14</v>
      </c>
      <c r="E561" t="s">
        <v>15</v>
      </c>
      <c r="F561" s="1">
        <v>45225</v>
      </c>
      <c r="G561" s="1">
        <v>45301</v>
      </c>
      <c r="H561">
        <v>21</v>
      </c>
      <c r="I561">
        <v>1.1000000000000001</v>
      </c>
      <c r="J561">
        <v>1</v>
      </c>
      <c r="K561" t="str">
        <f>IF(customer[[#This Row],[IsChurned]]=1,"Churned","Active")</f>
        <v>Churned</v>
      </c>
      <c r="L561" t="str">
        <f>TEXT(customer[[#This Row],[SubscriptionDate]],"mmm-yyyy")</f>
        <v>Oct-2023</v>
      </c>
      <c r="M561" s="1">
        <f ca="1">TODAY()-customer[[#This Row],[LastLoginDate]]</f>
        <v>742</v>
      </c>
    </row>
    <row r="562" spans="1:13" x14ac:dyDescent="0.3">
      <c r="A562">
        <v>561</v>
      </c>
      <c r="B562" t="s">
        <v>575</v>
      </c>
      <c r="C562">
        <v>28</v>
      </c>
      <c r="D562" t="s">
        <v>14</v>
      </c>
      <c r="E562" t="s">
        <v>12</v>
      </c>
      <c r="F562" s="1">
        <v>45385</v>
      </c>
      <c r="G562" s="1">
        <v>45387</v>
      </c>
      <c r="H562">
        <v>95</v>
      </c>
      <c r="I562">
        <v>3.8</v>
      </c>
      <c r="J562">
        <v>0</v>
      </c>
      <c r="K562" t="str">
        <f>IF(customer[[#This Row],[IsChurned]]=1,"Churned","Active")</f>
        <v>Active</v>
      </c>
      <c r="L562" t="str">
        <f>TEXT(customer[[#This Row],[SubscriptionDate]],"mmm-yyyy")</f>
        <v>Apr-2024</v>
      </c>
      <c r="M562" s="1">
        <f ca="1">TODAY()-customer[[#This Row],[LastLoginDate]]</f>
        <v>656</v>
      </c>
    </row>
    <row r="563" spans="1:13" x14ac:dyDescent="0.3">
      <c r="A563">
        <v>562</v>
      </c>
      <c r="B563" t="s">
        <v>576</v>
      </c>
      <c r="C563">
        <v>19</v>
      </c>
      <c r="D563" t="s">
        <v>11</v>
      </c>
      <c r="E563" t="s">
        <v>15</v>
      </c>
      <c r="F563" s="1">
        <v>44700</v>
      </c>
      <c r="G563" s="1">
        <v>44719</v>
      </c>
      <c r="H563">
        <v>36</v>
      </c>
      <c r="I563">
        <v>1.4</v>
      </c>
      <c r="J563">
        <v>0</v>
      </c>
      <c r="K563" t="str">
        <f>IF(customer[[#This Row],[IsChurned]]=1,"Churned","Active")</f>
        <v>Active</v>
      </c>
      <c r="L563" t="str">
        <f>TEXT(customer[[#This Row],[SubscriptionDate]],"mmm-yyyy")</f>
        <v>May-2022</v>
      </c>
      <c r="M563" s="1">
        <f ca="1">TODAY()-customer[[#This Row],[LastLoginDate]]</f>
        <v>1324</v>
      </c>
    </row>
    <row r="564" spans="1:13" x14ac:dyDescent="0.3">
      <c r="A564">
        <v>563</v>
      </c>
      <c r="B564" t="s">
        <v>577</v>
      </c>
      <c r="C564">
        <v>48</v>
      </c>
      <c r="D564" t="s">
        <v>14</v>
      </c>
      <c r="E564" t="s">
        <v>18</v>
      </c>
      <c r="F564" s="1">
        <v>44607</v>
      </c>
      <c r="G564" s="1">
        <v>44786</v>
      </c>
      <c r="H564">
        <v>5</v>
      </c>
      <c r="I564">
        <v>4.0999999999999996</v>
      </c>
      <c r="J564">
        <v>0</v>
      </c>
      <c r="K564" t="str">
        <f>IF(customer[[#This Row],[IsChurned]]=1,"Churned","Active")</f>
        <v>Active</v>
      </c>
      <c r="L564" t="str">
        <f>TEXT(customer[[#This Row],[SubscriptionDate]],"mmm-yyyy")</f>
        <v>Feb-2022</v>
      </c>
      <c r="M564" s="1">
        <f ca="1">TODAY()-customer[[#This Row],[LastLoginDate]]</f>
        <v>1257</v>
      </c>
    </row>
    <row r="565" spans="1:13" x14ac:dyDescent="0.3">
      <c r="A565">
        <v>564</v>
      </c>
      <c r="B565" t="s">
        <v>578</v>
      </c>
      <c r="C565">
        <v>18</v>
      </c>
      <c r="D565" t="s">
        <v>14</v>
      </c>
      <c r="E565" t="s">
        <v>18</v>
      </c>
      <c r="F565" s="1">
        <v>44753</v>
      </c>
      <c r="G565" s="1">
        <v>44957</v>
      </c>
      <c r="H565">
        <v>249</v>
      </c>
      <c r="I565">
        <v>3.9</v>
      </c>
      <c r="J565">
        <v>1</v>
      </c>
      <c r="K565" t="str">
        <f>IF(customer[[#This Row],[IsChurned]]=1,"Churned","Active")</f>
        <v>Churned</v>
      </c>
      <c r="L565" t="str">
        <f>TEXT(customer[[#This Row],[SubscriptionDate]],"mmm-yyyy")</f>
        <v>Jul-2022</v>
      </c>
      <c r="M565" s="1">
        <f ca="1">TODAY()-customer[[#This Row],[LastLoginDate]]</f>
        <v>1086</v>
      </c>
    </row>
    <row r="566" spans="1:13" x14ac:dyDescent="0.3">
      <c r="A566">
        <v>565</v>
      </c>
      <c r="B566" t="s">
        <v>579</v>
      </c>
      <c r="C566">
        <v>29</v>
      </c>
      <c r="D566" t="s">
        <v>11</v>
      </c>
      <c r="E566" t="s">
        <v>18</v>
      </c>
      <c r="F566" s="1">
        <v>45113</v>
      </c>
      <c r="G566" s="1">
        <v>45464</v>
      </c>
      <c r="H566">
        <v>203</v>
      </c>
      <c r="I566">
        <v>3.6</v>
      </c>
      <c r="J566">
        <v>0</v>
      </c>
      <c r="K566" t="str">
        <f>IF(customer[[#This Row],[IsChurned]]=1,"Churned","Active")</f>
        <v>Active</v>
      </c>
      <c r="L566" t="str">
        <f>TEXT(customer[[#This Row],[SubscriptionDate]],"mmm-yyyy")</f>
        <v>Jul-2023</v>
      </c>
      <c r="M566" s="1">
        <f ca="1">TODAY()-customer[[#This Row],[LastLoginDate]]</f>
        <v>579</v>
      </c>
    </row>
    <row r="567" spans="1:13" x14ac:dyDescent="0.3">
      <c r="A567">
        <v>566</v>
      </c>
      <c r="B567" t="s">
        <v>580</v>
      </c>
      <c r="C567">
        <v>20</v>
      </c>
      <c r="D567" t="s">
        <v>11</v>
      </c>
      <c r="E567" t="s">
        <v>18</v>
      </c>
      <c r="F567" s="1">
        <v>44881</v>
      </c>
      <c r="G567" s="1">
        <v>44916</v>
      </c>
      <c r="H567">
        <v>426</v>
      </c>
      <c r="I567">
        <v>4.8</v>
      </c>
      <c r="J567">
        <v>0</v>
      </c>
      <c r="K567" t="str">
        <f>IF(customer[[#This Row],[IsChurned]]=1,"Churned","Active")</f>
        <v>Active</v>
      </c>
      <c r="L567" t="str">
        <f>TEXT(customer[[#This Row],[SubscriptionDate]],"mmm-yyyy")</f>
        <v>Nov-2022</v>
      </c>
      <c r="M567" s="1">
        <f ca="1">TODAY()-customer[[#This Row],[LastLoginDate]]</f>
        <v>1127</v>
      </c>
    </row>
    <row r="568" spans="1:13" x14ac:dyDescent="0.3">
      <c r="A568">
        <v>567</v>
      </c>
      <c r="B568" t="s">
        <v>581</v>
      </c>
      <c r="C568">
        <v>41</v>
      </c>
      <c r="D568" t="s">
        <v>11</v>
      </c>
      <c r="E568" t="s">
        <v>12</v>
      </c>
      <c r="F568" s="1">
        <v>44781</v>
      </c>
      <c r="G568" s="1">
        <v>44818</v>
      </c>
      <c r="H568">
        <v>385</v>
      </c>
      <c r="I568">
        <v>1.7</v>
      </c>
      <c r="J568">
        <v>1</v>
      </c>
      <c r="K568" t="str">
        <f>IF(customer[[#This Row],[IsChurned]]=1,"Churned","Active")</f>
        <v>Churned</v>
      </c>
      <c r="L568" t="str">
        <f>TEXT(customer[[#This Row],[SubscriptionDate]],"mmm-yyyy")</f>
        <v>Aug-2022</v>
      </c>
      <c r="M568" s="1">
        <f ca="1">TODAY()-customer[[#This Row],[LastLoginDate]]</f>
        <v>1225</v>
      </c>
    </row>
    <row r="569" spans="1:13" x14ac:dyDescent="0.3">
      <c r="A569">
        <v>568</v>
      </c>
      <c r="B569" t="s">
        <v>582</v>
      </c>
      <c r="C569">
        <v>41</v>
      </c>
      <c r="D569" t="s">
        <v>14</v>
      </c>
      <c r="E569" t="s">
        <v>12</v>
      </c>
      <c r="F569" s="1">
        <v>45412</v>
      </c>
      <c r="G569" s="1">
        <v>45422</v>
      </c>
      <c r="H569">
        <v>339</v>
      </c>
      <c r="I569">
        <v>1.5</v>
      </c>
      <c r="J569">
        <v>0</v>
      </c>
      <c r="K569" t="str">
        <f>IF(customer[[#This Row],[IsChurned]]=1,"Churned","Active")</f>
        <v>Active</v>
      </c>
      <c r="L569" t="str">
        <f>TEXT(customer[[#This Row],[SubscriptionDate]],"mmm-yyyy")</f>
        <v>Apr-2024</v>
      </c>
      <c r="M569" s="1">
        <f ca="1">TODAY()-customer[[#This Row],[LastLoginDate]]</f>
        <v>621</v>
      </c>
    </row>
    <row r="570" spans="1:13" x14ac:dyDescent="0.3">
      <c r="A570">
        <v>569</v>
      </c>
      <c r="B570" t="s">
        <v>583</v>
      </c>
      <c r="C570">
        <v>56</v>
      </c>
      <c r="D570" t="s">
        <v>14</v>
      </c>
      <c r="E570" t="s">
        <v>12</v>
      </c>
      <c r="F570" s="1">
        <v>44683</v>
      </c>
      <c r="G570" s="1">
        <v>44982</v>
      </c>
      <c r="H570">
        <v>460</v>
      </c>
      <c r="I570">
        <v>3.7</v>
      </c>
      <c r="J570">
        <v>0</v>
      </c>
      <c r="K570" t="str">
        <f>IF(customer[[#This Row],[IsChurned]]=1,"Churned","Active")</f>
        <v>Active</v>
      </c>
      <c r="L570" t="str">
        <f>TEXT(customer[[#This Row],[SubscriptionDate]],"mmm-yyyy")</f>
        <v>May-2022</v>
      </c>
      <c r="M570" s="1">
        <f ca="1">TODAY()-customer[[#This Row],[LastLoginDate]]</f>
        <v>1061</v>
      </c>
    </row>
    <row r="571" spans="1:13" x14ac:dyDescent="0.3">
      <c r="A571">
        <v>570</v>
      </c>
      <c r="B571" t="s">
        <v>584</v>
      </c>
      <c r="C571">
        <v>22</v>
      </c>
      <c r="D571" t="s">
        <v>14</v>
      </c>
      <c r="E571" t="s">
        <v>12</v>
      </c>
      <c r="F571" s="1">
        <v>44586</v>
      </c>
      <c r="G571" s="1">
        <v>44884</v>
      </c>
      <c r="H571">
        <v>305</v>
      </c>
      <c r="I571">
        <v>3.2</v>
      </c>
      <c r="J571">
        <v>1</v>
      </c>
      <c r="K571" t="str">
        <f>IF(customer[[#This Row],[IsChurned]]=1,"Churned","Active")</f>
        <v>Churned</v>
      </c>
      <c r="L571" t="str">
        <f>TEXT(customer[[#This Row],[SubscriptionDate]],"mmm-yyyy")</f>
        <v>Jan-2022</v>
      </c>
      <c r="M571" s="1">
        <f ca="1">TODAY()-customer[[#This Row],[LastLoginDate]]</f>
        <v>1159</v>
      </c>
    </row>
    <row r="572" spans="1:13" x14ac:dyDescent="0.3">
      <c r="A572">
        <v>571</v>
      </c>
      <c r="B572" t="s">
        <v>585</v>
      </c>
      <c r="C572">
        <v>42</v>
      </c>
      <c r="D572" t="s">
        <v>11</v>
      </c>
      <c r="E572" t="s">
        <v>18</v>
      </c>
      <c r="F572" s="1">
        <v>45166</v>
      </c>
      <c r="G572" s="1">
        <v>45343</v>
      </c>
      <c r="H572">
        <v>365</v>
      </c>
      <c r="I572">
        <v>4.2</v>
      </c>
      <c r="J572">
        <v>1</v>
      </c>
      <c r="K572" t="str">
        <f>IF(customer[[#This Row],[IsChurned]]=1,"Churned","Active")</f>
        <v>Churned</v>
      </c>
      <c r="L572" t="str">
        <f>TEXT(customer[[#This Row],[SubscriptionDate]],"mmm-yyyy")</f>
        <v>Aug-2023</v>
      </c>
      <c r="M572" s="1">
        <f ca="1">TODAY()-customer[[#This Row],[LastLoginDate]]</f>
        <v>700</v>
      </c>
    </row>
    <row r="573" spans="1:13" x14ac:dyDescent="0.3">
      <c r="A573">
        <v>572</v>
      </c>
      <c r="B573" t="s">
        <v>586</v>
      </c>
      <c r="C573">
        <v>46</v>
      </c>
      <c r="D573" t="s">
        <v>11</v>
      </c>
      <c r="E573" t="s">
        <v>12</v>
      </c>
      <c r="F573" s="1">
        <v>45238</v>
      </c>
      <c r="G573" s="1">
        <v>45374</v>
      </c>
      <c r="H573">
        <v>273</v>
      </c>
      <c r="I573">
        <v>2.2999999999999998</v>
      </c>
      <c r="J573">
        <v>0</v>
      </c>
      <c r="K573" t="str">
        <f>IF(customer[[#This Row],[IsChurned]]=1,"Churned","Active")</f>
        <v>Active</v>
      </c>
      <c r="L573" t="str">
        <f>TEXT(customer[[#This Row],[SubscriptionDate]],"mmm-yyyy")</f>
        <v>Nov-2023</v>
      </c>
      <c r="M573" s="1">
        <f ca="1">TODAY()-customer[[#This Row],[LastLoginDate]]</f>
        <v>669</v>
      </c>
    </row>
    <row r="574" spans="1:13" x14ac:dyDescent="0.3">
      <c r="A574">
        <v>573</v>
      </c>
      <c r="B574" t="s">
        <v>587</v>
      </c>
      <c r="C574">
        <v>54</v>
      </c>
      <c r="D574" t="s">
        <v>14</v>
      </c>
      <c r="E574" t="s">
        <v>15</v>
      </c>
      <c r="F574" s="1">
        <v>45033</v>
      </c>
      <c r="G574" s="1">
        <v>45239</v>
      </c>
      <c r="H574">
        <v>458</v>
      </c>
      <c r="I574">
        <v>1</v>
      </c>
      <c r="J574">
        <v>1</v>
      </c>
      <c r="K574" t="str">
        <f>IF(customer[[#This Row],[IsChurned]]=1,"Churned","Active")</f>
        <v>Churned</v>
      </c>
      <c r="L574" t="str">
        <f>TEXT(customer[[#This Row],[SubscriptionDate]],"mmm-yyyy")</f>
        <v>Apr-2023</v>
      </c>
      <c r="M574" s="1">
        <f ca="1">TODAY()-customer[[#This Row],[LastLoginDate]]</f>
        <v>804</v>
      </c>
    </row>
    <row r="575" spans="1:13" x14ac:dyDescent="0.3">
      <c r="A575">
        <v>574</v>
      </c>
      <c r="B575" t="s">
        <v>588</v>
      </c>
      <c r="C575">
        <v>58</v>
      </c>
      <c r="D575" t="s">
        <v>14</v>
      </c>
      <c r="E575" t="s">
        <v>15</v>
      </c>
      <c r="F575" s="1">
        <v>45177</v>
      </c>
      <c r="G575" s="1">
        <v>45514</v>
      </c>
      <c r="H575">
        <v>64</v>
      </c>
      <c r="I575">
        <v>3.2</v>
      </c>
      <c r="J575">
        <v>0</v>
      </c>
      <c r="K575" t="str">
        <f>IF(customer[[#This Row],[IsChurned]]=1,"Churned","Active")</f>
        <v>Active</v>
      </c>
      <c r="L575" t="str">
        <f>TEXT(customer[[#This Row],[SubscriptionDate]],"mmm-yyyy")</f>
        <v>Sep-2023</v>
      </c>
      <c r="M575" s="1">
        <f ca="1">TODAY()-customer[[#This Row],[LastLoginDate]]</f>
        <v>529</v>
      </c>
    </row>
    <row r="576" spans="1:13" x14ac:dyDescent="0.3">
      <c r="A576">
        <v>575</v>
      </c>
      <c r="B576" t="s">
        <v>589</v>
      </c>
      <c r="C576">
        <v>36</v>
      </c>
      <c r="D576" t="s">
        <v>11</v>
      </c>
      <c r="E576" t="s">
        <v>15</v>
      </c>
      <c r="F576" s="1">
        <v>44663</v>
      </c>
      <c r="G576" s="1">
        <v>44874</v>
      </c>
      <c r="H576">
        <v>184</v>
      </c>
      <c r="I576">
        <v>2.2000000000000002</v>
      </c>
      <c r="J576">
        <v>0</v>
      </c>
      <c r="K576" t="str">
        <f>IF(customer[[#This Row],[IsChurned]]=1,"Churned","Active")</f>
        <v>Active</v>
      </c>
      <c r="L576" t="str">
        <f>TEXT(customer[[#This Row],[SubscriptionDate]],"mmm-yyyy")</f>
        <v>Apr-2022</v>
      </c>
      <c r="M576" s="1">
        <f ca="1">TODAY()-customer[[#This Row],[LastLoginDate]]</f>
        <v>1169</v>
      </c>
    </row>
    <row r="577" spans="1:13" x14ac:dyDescent="0.3">
      <c r="A577">
        <v>576</v>
      </c>
      <c r="B577" t="s">
        <v>590</v>
      </c>
      <c r="C577">
        <v>64</v>
      </c>
      <c r="D577" t="s">
        <v>14</v>
      </c>
      <c r="E577" t="s">
        <v>18</v>
      </c>
      <c r="F577" s="1">
        <v>45087</v>
      </c>
      <c r="G577" s="1">
        <v>45284</v>
      </c>
      <c r="H577">
        <v>90</v>
      </c>
      <c r="I577">
        <v>2.8</v>
      </c>
      <c r="J577">
        <v>0</v>
      </c>
      <c r="K577" t="str">
        <f>IF(customer[[#This Row],[IsChurned]]=1,"Churned","Active")</f>
        <v>Active</v>
      </c>
      <c r="L577" t="str">
        <f>TEXT(customer[[#This Row],[SubscriptionDate]],"mmm-yyyy")</f>
        <v>Jun-2023</v>
      </c>
      <c r="M577" s="1">
        <f ca="1">TODAY()-customer[[#This Row],[LastLoginDate]]</f>
        <v>759</v>
      </c>
    </row>
    <row r="578" spans="1:13" x14ac:dyDescent="0.3">
      <c r="A578">
        <v>577</v>
      </c>
      <c r="B578" t="s">
        <v>591</v>
      </c>
      <c r="C578">
        <v>50</v>
      </c>
      <c r="D578" t="s">
        <v>14</v>
      </c>
      <c r="E578" t="s">
        <v>12</v>
      </c>
      <c r="F578" s="1">
        <v>44936</v>
      </c>
      <c r="G578" s="1">
        <v>45033</v>
      </c>
      <c r="H578">
        <v>39</v>
      </c>
      <c r="I578">
        <v>3.2</v>
      </c>
      <c r="J578">
        <v>0</v>
      </c>
      <c r="K578" t="str">
        <f>IF(customer[[#This Row],[IsChurned]]=1,"Churned","Active")</f>
        <v>Active</v>
      </c>
      <c r="L578" t="str">
        <f>TEXT(customer[[#This Row],[SubscriptionDate]],"mmm-yyyy")</f>
        <v>Jan-2023</v>
      </c>
      <c r="M578" s="1">
        <f ca="1">TODAY()-customer[[#This Row],[LastLoginDate]]</f>
        <v>1010</v>
      </c>
    </row>
    <row r="579" spans="1:13" x14ac:dyDescent="0.3">
      <c r="A579">
        <v>578</v>
      </c>
      <c r="B579" t="s">
        <v>592</v>
      </c>
      <c r="C579">
        <v>29</v>
      </c>
      <c r="D579" t="s">
        <v>14</v>
      </c>
      <c r="E579" t="s">
        <v>18</v>
      </c>
      <c r="F579" s="1">
        <v>44926</v>
      </c>
      <c r="G579" s="1">
        <v>45061</v>
      </c>
      <c r="H579">
        <v>87</v>
      </c>
      <c r="I579">
        <v>3.1</v>
      </c>
      <c r="J579">
        <v>0</v>
      </c>
      <c r="K579" t="str">
        <f>IF(customer[[#This Row],[IsChurned]]=1,"Churned","Active")</f>
        <v>Active</v>
      </c>
      <c r="L579" t="str">
        <f>TEXT(customer[[#This Row],[SubscriptionDate]],"mmm-yyyy")</f>
        <v>Dec-2022</v>
      </c>
      <c r="M579" s="1">
        <f ca="1">TODAY()-customer[[#This Row],[LastLoginDate]]</f>
        <v>982</v>
      </c>
    </row>
    <row r="580" spans="1:13" x14ac:dyDescent="0.3">
      <c r="A580">
        <v>579</v>
      </c>
      <c r="B580" t="s">
        <v>593</v>
      </c>
      <c r="C580">
        <v>55</v>
      </c>
      <c r="D580" t="s">
        <v>14</v>
      </c>
      <c r="E580" t="s">
        <v>15</v>
      </c>
      <c r="F580" s="1">
        <v>44608</v>
      </c>
      <c r="G580" s="1">
        <v>44720</v>
      </c>
      <c r="H580">
        <v>282</v>
      </c>
      <c r="I580">
        <v>2.1</v>
      </c>
      <c r="J580">
        <v>0</v>
      </c>
      <c r="K580" t="str">
        <f>IF(customer[[#This Row],[IsChurned]]=1,"Churned","Active")</f>
        <v>Active</v>
      </c>
      <c r="L580" t="str">
        <f>TEXT(customer[[#This Row],[SubscriptionDate]],"mmm-yyyy")</f>
        <v>Feb-2022</v>
      </c>
      <c r="M580" s="1">
        <f ca="1">TODAY()-customer[[#This Row],[LastLoginDate]]</f>
        <v>1323</v>
      </c>
    </row>
    <row r="581" spans="1:13" x14ac:dyDescent="0.3">
      <c r="A581">
        <v>580</v>
      </c>
      <c r="B581" t="s">
        <v>594</v>
      </c>
      <c r="C581">
        <v>29</v>
      </c>
      <c r="D581" t="s">
        <v>11</v>
      </c>
      <c r="E581" t="s">
        <v>15</v>
      </c>
      <c r="F581" s="1">
        <v>45158</v>
      </c>
      <c r="G581" s="1">
        <v>45335</v>
      </c>
      <c r="H581">
        <v>201</v>
      </c>
      <c r="I581">
        <v>4.0999999999999996</v>
      </c>
      <c r="J581">
        <v>0</v>
      </c>
      <c r="K581" t="str">
        <f>IF(customer[[#This Row],[IsChurned]]=1,"Churned","Active")</f>
        <v>Active</v>
      </c>
      <c r="L581" t="str">
        <f>TEXT(customer[[#This Row],[SubscriptionDate]],"mmm-yyyy")</f>
        <v>Aug-2023</v>
      </c>
      <c r="M581" s="1">
        <f ca="1">TODAY()-customer[[#This Row],[LastLoginDate]]</f>
        <v>708</v>
      </c>
    </row>
    <row r="582" spans="1:13" x14ac:dyDescent="0.3">
      <c r="A582">
        <v>581</v>
      </c>
      <c r="B582" t="s">
        <v>595</v>
      </c>
      <c r="C582">
        <v>37</v>
      </c>
      <c r="D582" t="s">
        <v>14</v>
      </c>
      <c r="E582" t="s">
        <v>15</v>
      </c>
      <c r="F582" s="1">
        <v>44920</v>
      </c>
      <c r="G582" s="1">
        <v>45053</v>
      </c>
      <c r="H582">
        <v>367</v>
      </c>
      <c r="I582">
        <v>1.2</v>
      </c>
      <c r="J582">
        <v>0</v>
      </c>
      <c r="K582" t="str">
        <f>IF(customer[[#This Row],[IsChurned]]=1,"Churned","Active")</f>
        <v>Active</v>
      </c>
      <c r="L582" t="str">
        <f>TEXT(customer[[#This Row],[SubscriptionDate]],"mmm-yyyy")</f>
        <v>Dec-2022</v>
      </c>
      <c r="M582" s="1">
        <f ca="1">TODAY()-customer[[#This Row],[LastLoginDate]]</f>
        <v>990</v>
      </c>
    </row>
    <row r="583" spans="1:13" x14ac:dyDescent="0.3">
      <c r="A583">
        <v>582</v>
      </c>
      <c r="B583" t="s">
        <v>596</v>
      </c>
      <c r="C583">
        <v>25</v>
      </c>
      <c r="D583" t="s">
        <v>11</v>
      </c>
      <c r="E583" t="s">
        <v>15</v>
      </c>
      <c r="F583" s="1">
        <v>44777</v>
      </c>
      <c r="G583" s="1">
        <v>44784</v>
      </c>
      <c r="H583">
        <v>400</v>
      </c>
      <c r="I583">
        <v>4.4000000000000004</v>
      </c>
      <c r="J583">
        <v>0</v>
      </c>
      <c r="K583" t="str">
        <f>IF(customer[[#This Row],[IsChurned]]=1,"Churned","Active")</f>
        <v>Active</v>
      </c>
      <c r="L583" t="str">
        <f>TEXT(customer[[#This Row],[SubscriptionDate]],"mmm-yyyy")</f>
        <v>Aug-2022</v>
      </c>
      <c r="M583" s="1">
        <f ca="1">TODAY()-customer[[#This Row],[LastLoginDate]]</f>
        <v>1259</v>
      </c>
    </row>
    <row r="584" spans="1:13" x14ac:dyDescent="0.3">
      <c r="A584">
        <v>583</v>
      </c>
      <c r="B584" t="s">
        <v>597</v>
      </c>
      <c r="C584">
        <v>23</v>
      </c>
      <c r="D584" t="s">
        <v>11</v>
      </c>
      <c r="E584" t="s">
        <v>12</v>
      </c>
      <c r="F584" s="1">
        <v>45347</v>
      </c>
      <c r="G584" s="1">
        <v>45700</v>
      </c>
      <c r="H584">
        <v>130</v>
      </c>
      <c r="I584">
        <v>1.6</v>
      </c>
      <c r="J584">
        <v>0</v>
      </c>
      <c r="K584" t="str">
        <f>IF(customer[[#This Row],[IsChurned]]=1,"Churned","Active")</f>
        <v>Active</v>
      </c>
      <c r="L584" t="str">
        <f>TEXT(customer[[#This Row],[SubscriptionDate]],"mmm-yyyy")</f>
        <v>Feb-2024</v>
      </c>
      <c r="M584" s="1">
        <f ca="1">TODAY()-customer[[#This Row],[LastLoginDate]]</f>
        <v>343</v>
      </c>
    </row>
    <row r="585" spans="1:13" x14ac:dyDescent="0.3">
      <c r="A585">
        <v>584</v>
      </c>
      <c r="B585" t="s">
        <v>598</v>
      </c>
      <c r="C585">
        <v>37</v>
      </c>
      <c r="D585" t="s">
        <v>11</v>
      </c>
      <c r="E585" t="s">
        <v>12</v>
      </c>
      <c r="F585" s="1">
        <v>45414</v>
      </c>
      <c r="G585" s="1">
        <v>45573</v>
      </c>
      <c r="H585">
        <v>38</v>
      </c>
      <c r="I585">
        <v>1.3</v>
      </c>
      <c r="J585">
        <v>0</v>
      </c>
      <c r="K585" t="str">
        <f>IF(customer[[#This Row],[IsChurned]]=1,"Churned","Active")</f>
        <v>Active</v>
      </c>
      <c r="L585" t="str">
        <f>TEXT(customer[[#This Row],[SubscriptionDate]],"mmm-yyyy")</f>
        <v>May-2024</v>
      </c>
      <c r="M585" s="1">
        <f ca="1">TODAY()-customer[[#This Row],[LastLoginDate]]</f>
        <v>470</v>
      </c>
    </row>
    <row r="586" spans="1:13" x14ac:dyDescent="0.3">
      <c r="A586">
        <v>585</v>
      </c>
      <c r="B586" t="s">
        <v>599</v>
      </c>
      <c r="C586">
        <v>48</v>
      </c>
      <c r="D586" t="s">
        <v>11</v>
      </c>
      <c r="E586" t="s">
        <v>12</v>
      </c>
      <c r="F586" s="1">
        <v>45072</v>
      </c>
      <c r="G586" s="1">
        <v>45341</v>
      </c>
      <c r="H586">
        <v>85</v>
      </c>
      <c r="I586">
        <v>3.3</v>
      </c>
      <c r="J586">
        <v>1</v>
      </c>
      <c r="K586" t="str">
        <f>IF(customer[[#This Row],[IsChurned]]=1,"Churned","Active")</f>
        <v>Churned</v>
      </c>
      <c r="L586" t="str">
        <f>TEXT(customer[[#This Row],[SubscriptionDate]],"mmm-yyyy")</f>
        <v>May-2023</v>
      </c>
      <c r="M586" s="1">
        <f ca="1">TODAY()-customer[[#This Row],[LastLoginDate]]</f>
        <v>702</v>
      </c>
    </row>
    <row r="587" spans="1:13" x14ac:dyDescent="0.3">
      <c r="A587">
        <v>586</v>
      </c>
      <c r="B587" t="s">
        <v>600</v>
      </c>
      <c r="C587">
        <v>39</v>
      </c>
      <c r="D587" t="s">
        <v>14</v>
      </c>
      <c r="E587" t="s">
        <v>12</v>
      </c>
      <c r="F587" s="1">
        <v>45219</v>
      </c>
      <c r="G587" s="1">
        <v>45255</v>
      </c>
      <c r="H587">
        <v>367</v>
      </c>
      <c r="I587">
        <v>1.8</v>
      </c>
      <c r="J587">
        <v>1</v>
      </c>
      <c r="K587" t="str">
        <f>IF(customer[[#This Row],[IsChurned]]=1,"Churned","Active")</f>
        <v>Churned</v>
      </c>
      <c r="L587" t="str">
        <f>TEXT(customer[[#This Row],[SubscriptionDate]],"mmm-yyyy")</f>
        <v>Oct-2023</v>
      </c>
      <c r="M587" s="1">
        <f ca="1">TODAY()-customer[[#This Row],[LastLoginDate]]</f>
        <v>788</v>
      </c>
    </row>
    <row r="588" spans="1:13" x14ac:dyDescent="0.3">
      <c r="A588">
        <v>587</v>
      </c>
      <c r="B588" t="s">
        <v>601</v>
      </c>
      <c r="C588">
        <v>59</v>
      </c>
      <c r="D588" t="s">
        <v>14</v>
      </c>
      <c r="E588" t="s">
        <v>18</v>
      </c>
      <c r="F588" s="1">
        <v>44958</v>
      </c>
      <c r="G588" s="1">
        <v>45136</v>
      </c>
      <c r="H588">
        <v>359</v>
      </c>
      <c r="I588">
        <v>4.4000000000000004</v>
      </c>
      <c r="J588">
        <v>1</v>
      </c>
      <c r="K588" t="str">
        <f>IF(customer[[#This Row],[IsChurned]]=1,"Churned","Active")</f>
        <v>Churned</v>
      </c>
      <c r="L588" t="str">
        <f>TEXT(customer[[#This Row],[SubscriptionDate]],"mmm-yyyy")</f>
        <v>Feb-2023</v>
      </c>
      <c r="M588" s="1">
        <f ca="1">TODAY()-customer[[#This Row],[LastLoginDate]]</f>
        <v>907</v>
      </c>
    </row>
    <row r="589" spans="1:13" x14ac:dyDescent="0.3">
      <c r="A589">
        <v>588</v>
      </c>
      <c r="B589" t="s">
        <v>602</v>
      </c>
      <c r="C589">
        <v>23</v>
      </c>
      <c r="D589" t="s">
        <v>11</v>
      </c>
      <c r="E589" t="s">
        <v>15</v>
      </c>
      <c r="F589" s="1">
        <v>45313</v>
      </c>
      <c r="G589" s="1">
        <v>45379</v>
      </c>
      <c r="H589">
        <v>337</v>
      </c>
      <c r="I589">
        <v>3.4</v>
      </c>
      <c r="J589">
        <v>1</v>
      </c>
      <c r="K589" t="str">
        <f>IF(customer[[#This Row],[IsChurned]]=1,"Churned","Active")</f>
        <v>Churned</v>
      </c>
      <c r="L589" t="str">
        <f>TEXT(customer[[#This Row],[SubscriptionDate]],"mmm-yyyy")</f>
        <v>Jan-2024</v>
      </c>
      <c r="M589" s="1">
        <f ca="1">TODAY()-customer[[#This Row],[LastLoginDate]]</f>
        <v>664</v>
      </c>
    </row>
    <row r="590" spans="1:13" x14ac:dyDescent="0.3">
      <c r="A590">
        <v>589</v>
      </c>
      <c r="B590" t="s">
        <v>603</v>
      </c>
      <c r="C590">
        <v>24</v>
      </c>
      <c r="D590" t="s">
        <v>11</v>
      </c>
      <c r="E590" t="s">
        <v>12</v>
      </c>
      <c r="F590" s="1">
        <v>45221</v>
      </c>
      <c r="G590" s="1">
        <v>45383</v>
      </c>
      <c r="H590">
        <v>369</v>
      </c>
      <c r="I590">
        <v>1.3</v>
      </c>
      <c r="J590">
        <v>0</v>
      </c>
      <c r="K590" t="str">
        <f>IF(customer[[#This Row],[IsChurned]]=1,"Churned","Active")</f>
        <v>Active</v>
      </c>
      <c r="L590" t="str">
        <f>TEXT(customer[[#This Row],[SubscriptionDate]],"mmm-yyyy")</f>
        <v>Oct-2023</v>
      </c>
      <c r="M590" s="1">
        <f ca="1">TODAY()-customer[[#This Row],[LastLoginDate]]</f>
        <v>660</v>
      </c>
    </row>
    <row r="591" spans="1:13" x14ac:dyDescent="0.3">
      <c r="A591">
        <v>590</v>
      </c>
      <c r="B591" t="s">
        <v>604</v>
      </c>
      <c r="C591">
        <v>41</v>
      </c>
      <c r="D591" t="s">
        <v>14</v>
      </c>
      <c r="E591" t="s">
        <v>15</v>
      </c>
      <c r="F591" s="1">
        <v>44885</v>
      </c>
      <c r="G591" s="1">
        <v>45027</v>
      </c>
      <c r="H591">
        <v>495</v>
      </c>
      <c r="I591">
        <v>4.9000000000000004</v>
      </c>
      <c r="J591">
        <v>0</v>
      </c>
      <c r="K591" t="str">
        <f>IF(customer[[#This Row],[IsChurned]]=1,"Churned","Active")</f>
        <v>Active</v>
      </c>
      <c r="L591" t="str">
        <f>TEXT(customer[[#This Row],[SubscriptionDate]],"mmm-yyyy")</f>
        <v>Nov-2022</v>
      </c>
      <c r="M591" s="1">
        <f ca="1">TODAY()-customer[[#This Row],[LastLoginDate]]</f>
        <v>1016</v>
      </c>
    </row>
    <row r="592" spans="1:13" x14ac:dyDescent="0.3">
      <c r="A592">
        <v>591</v>
      </c>
      <c r="B592" t="s">
        <v>605</v>
      </c>
      <c r="C592">
        <v>34</v>
      </c>
      <c r="D592" t="s">
        <v>11</v>
      </c>
      <c r="E592" t="s">
        <v>15</v>
      </c>
      <c r="F592" s="1">
        <v>44822</v>
      </c>
      <c r="G592" s="1">
        <v>45071</v>
      </c>
      <c r="H592">
        <v>207</v>
      </c>
      <c r="I592">
        <v>2.5</v>
      </c>
      <c r="J592">
        <v>0</v>
      </c>
      <c r="K592" t="str">
        <f>IF(customer[[#This Row],[IsChurned]]=1,"Churned","Active")</f>
        <v>Active</v>
      </c>
      <c r="L592" t="str">
        <f>TEXT(customer[[#This Row],[SubscriptionDate]],"mmm-yyyy")</f>
        <v>Sep-2022</v>
      </c>
      <c r="M592" s="1">
        <f ca="1">TODAY()-customer[[#This Row],[LastLoginDate]]</f>
        <v>972</v>
      </c>
    </row>
    <row r="593" spans="1:13" x14ac:dyDescent="0.3">
      <c r="A593">
        <v>592</v>
      </c>
      <c r="B593" t="s">
        <v>606</v>
      </c>
      <c r="C593">
        <v>35</v>
      </c>
      <c r="D593" t="s">
        <v>11</v>
      </c>
      <c r="E593" t="s">
        <v>18</v>
      </c>
      <c r="F593" s="1">
        <v>44877</v>
      </c>
      <c r="G593" s="1">
        <v>45110</v>
      </c>
      <c r="H593">
        <v>392</v>
      </c>
      <c r="I593">
        <v>2.5</v>
      </c>
      <c r="J593">
        <v>0</v>
      </c>
      <c r="K593" t="str">
        <f>IF(customer[[#This Row],[IsChurned]]=1,"Churned","Active")</f>
        <v>Active</v>
      </c>
      <c r="L593" t="str">
        <f>TEXT(customer[[#This Row],[SubscriptionDate]],"mmm-yyyy")</f>
        <v>Nov-2022</v>
      </c>
      <c r="M593" s="1">
        <f ca="1">TODAY()-customer[[#This Row],[LastLoginDate]]</f>
        <v>933</v>
      </c>
    </row>
    <row r="594" spans="1:13" x14ac:dyDescent="0.3">
      <c r="A594">
        <v>593</v>
      </c>
      <c r="B594" t="s">
        <v>607</v>
      </c>
      <c r="C594">
        <v>37</v>
      </c>
      <c r="D594" t="s">
        <v>14</v>
      </c>
      <c r="E594" t="s">
        <v>18</v>
      </c>
      <c r="F594" s="1">
        <v>45457</v>
      </c>
      <c r="G594" s="1">
        <v>45545</v>
      </c>
      <c r="H594">
        <v>411</v>
      </c>
      <c r="I594">
        <v>2.2999999999999998</v>
      </c>
      <c r="J594">
        <v>0</v>
      </c>
      <c r="K594" t="str">
        <f>IF(customer[[#This Row],[IsChurned]]=1,"Churned","Active")</f>
        <v>Active</v>
      </c>
      <c r="L594" t="str">
        <f>TEXT(customer[[#This Row],[SubscriptionDate]],"mmm-yyyy")</f>
        <v>Jun-2024</v>
      </c>
      <c r="M594" s="1">
        <f ca="1">TODAY()-customer[[#This Row],[LastLoginDate]]</f>
        <v>498</v>
      </c>
    </row>
    <row r="595" spans="1:13" x14ac:dyDescent="0.3">
      <c r="A595">
        <v>594</v>
      </c>
      <c r="B595" t="s">
        <v>608</v>
      </c>
      <c r="C595">
        <v>49</v>
      </c>
      <c r="D595" t="s">
        <v>11</v>
      </c>
      <c r="E595" t="s">
        <v>18</v>
      </c>
      <c r="F595" s="1">
        <v>44619</v>
      </c>
      <c r="G595" s="1">
        <v>44785</v>
      </c>
      <c r="H595">
        <v>196</v>
      </c>
      <c r="I595">
        <v>2</v>
      </c>
      <c r="J595">
        <v>0</v>
      </c>
      <c r="K595" t="str">
        <f>IF(customer[[#This Row],[IsChurned]]=1,"Churned","Active")</f>
        <v>Active</v>
      </c>
      <c r="L595" t="str">
        <f>TEXT(customer[[#This Row],[SubscriptionDate]],"mmm-yyyy")</f>
        <v>Feb-2022</v>
      </c>
      <c r="M595" s="1">
        <f ca="1">TODAY()-customer[[#This Row],[LastLoginDate]]</f>
        <v>1258</v>
      </c>
    </row>
    <row r="596" spans="1:13" x14ac:dyDescent="0.3">
      <c r="A596">
        <v>595</v>
      </c>
      <c r="B596" t="s">
        <v>609</v>
      </c>
      <c r="C596">
        <v>27</v>
      </c>
      <c r="D596" t="s">
        <v>14</v>
      </c>
      <c r="E596" t="s">
        <v>12</v>
      </c>
      <c r="F596" s="1">
        <v>44973</v>
      </c>
      <c r="G596" s="1">
        <v>45136</v>
      </c>
      <c r="H596">
        <v>17</v>
      </c>
      <c r="I596">
        <v>4.4000000000000004</v>
      </c>
      <c r="J596">
        <v>0</v>
      </c>
      <c r="K596" t="str">
        <f>IF(customer[[#This Row],[IsChurned]]=1,"Churned","Active")</f>
        <v>Active</v>
      </c>
      <c r="L596" t="str">
        <f>TEXT(customer[[#This Row],[SubscriptionDate]],"mmm-yyyy")</f>
        <v>Feb-2023</v>
      </c>
      <c r="M596" s="1">
        <f ca="1">TODAY()-customer[[#This Row],[LastLoginDate]]</f>
        <v>907</v>
      </c>
    </row>
    <row r="597" spans="1:13" x14ac:dyDescent="0.3">
      <c r="A597">
        <v>596</v>
      </c>
      <c r="B597" t="s">
        <v>610</v>
      </c>
      <c r="C597">
        <v>20</v>
      </c>
      <c r="D597" t="s">
        <v>11</v>
      </c>
      <c r="E597" t="s">
        <v>15</v>
      </c>
      <c r="F597" s="1">
        <v>45455</v>
      </c>
      <c r="G597" s="1">
        <v>45679</v>
      </c>
      <c r="H597">
        <v>437</v>
      </c>
      <c r="I597">
        <v>3</v>
      </c>
      <c r="J597">
        <v>0</v>
      </c>
      <c r="K597" t="str">
        <f>IF(customer[[#This Row],[IsChurned]]=1,"Churned","Active")</f>
        <v>Active</v>
      </c>
      <c r="L597" t="str">
        <f>TEXT(customer[[#This Row],[SubscriptionDate]],"mmm-yyyy")</f>
        <v>Jun-2024</v>
      </c>
      <c r="M597" s="1">
        <f ca="1">TODAY()-customer[[#This Row],[LastLoginDate]]</f>
        <v>364</v>
      </c>
    </row>
    <row r="598" spans="1:13" x14ac:dyDescent="0.3">
      <c r="A598">
        <v>597</v>
      </c>
      <c r="B598" t="s">
        <v>611</v>
      </c>
      <c r="C598">
        <v>54</v>
      </c>
      <c r="D598" t="s">
        <v>14</v>
      </c>
      <c r="E598" t="s">
        <v>18</v>
      </c>
      <c r="F598" s="1">
        <v>44638</v>
      </c>
      <c r="G598" s="1">
        <v>44697</v>
      </c>
      <c r="H598">
        <v>257</v>
      </c>
      <c r="I598">
        <v>4.0999999999999996</v>
      </c>
      <c r="J598">
        <v>0</v>
      </c>
      <c r="K598" t="str">
        <f>IF(customer[[#This Row],[IsChurned]]=1,"Churned","Active")</f>
        <v>Active</v>
      </c>
      <c r="L598" t="str">
        <f>TEXT(customer[[#This Row],[SubscriptionDate]],"mmm-yyyy")</f>
        <v>Mar-2022</v>
      </c>
      <c r="M598" s="1">
        <f ca="1">TODAY()-customer[[#This Row],[LastLoginDate]]</f>
        <v>1346</v>
      </c>
    </row>
    <row r="599" spans="1:13" x14ac:dyDescent="0.3">
      <c r="A599">
        <v>598</v>
      </c>
      <c r="B599" t="s">
        <v>612</v>
      </c>
      <c r="C599">
        <v>64</v>
      </c>
      <c r="D599" t="s">
        <v>11</v>
      </c>
      <c r="E599" t="s">
        <v>18</v>
      </c>
      <c r="F599" s="1">
        <v>45194</v>
      </c>
      <c r="G599" s="1">
        <v>45269</v>
      </c>
      <c r="H599">
        <v>258</v>
      </c>
      <c r="I599">
        <v>1.5</v>
      </c>
      <c r="J599">
        <v>0</v>
      </c>
      <c r="K599" t="str">
        <f>IF(customer[[#This Row],[IsChurned]]=1,"Churned","Active")</f>
        <v>Active</v>
      </c>
      <c r="L599" t="str">
        <f>TEXT(customer[[#This Row],[SubscriptionDate]],"mmm-yyyy")</f>
        <v>Sep-2023</v>
      </c>
      <c r="M599" s="1">
        <f ca="1">TODAY()-customer[[#This Row],[LastLoginDate]]</f>
        <v>774</v>
      </c>
    </row>
    <row r="600" spans="1:13" x14ac:dyDescent="0.3">
      <c r="A600">
        <v>599</v>
      </c>
      <c r="B600" t="s">
        <v>613</v>
      </c>
      <c r="C600">
        <v>59</v>
      </c>
      <c r="D600" t="s">
        <v>14</v>
      </c>
      <c r="E600" t="s">
        <v>12</v>
      </c>
      <c r="F600" s="1">
        <v>44853</v>
      </c>
      <c r="G600" s="1">
        <v>45216</v>
      </c>
      <c r="H600">
        <v>16</v>
      </c>
      <c r="I600">
        <v>5</v>
      </c>
      <c r="J600">
        <v>1</v>
      </c>
      <c r="K600" t="str">
        <f>IF(customer[[#This Row],[IsChurned]]=1,"Churned","Active")</f>
        <v>Churned</v>
      </c>
      <c r="L600" t="str">
        <f>TEXT(customer[[#This Row],[SubscriptionDate]],"mmm-yyyy")</f>
        <v>Oct-2022</v>
      </c>
      <c r="M600" s="1">
        <f ca="1">TODAY()-customer[[#This Row],[LastLoginDate]]</f>
        <v>827</v>
      </c>
    </row>
    <row r="601" spans="1:13" x14ac:dyDescent="0.3">
      <c r="A601">
        <v>600</v>
      </c>
      <c r="B601" t="s">
        <v>614</v>
      </c>
      <c r="C601">
        <v>22</v>
      </c>
      <c r="D601" t="s">
        <v>11</v>
      </c>
      <c r="E601" t="s">
        <v>12</v>
      </c>
      <c r="F601" s="1">
        <v>45227</v>
      </c>
      <c r="G601" s="1">
        <v>45256</v>
      </c>
      <c r="H601">
        <v>1</v>
      </c>
      <c r="I601">
        <v>4.4000000000000004</v>
      </c>
      <c r="J601">
        <v>1</v>
      </c>
      <c r="K601" t="str">
        <f>IF(customer[[#This Row],[IsChurned]]=1,"Churned","Active")</f>
        <v>Churned</v>
      </c>
      <c r="L601" t="str">
        <f>TEXT(customer[[#This Row],[SubscriptionDate]],"mmm-yyyy")</f>
        <v>Oct-2023</v>
      </c>
      <c r="M601" s="1">
        <f ca="1">TODAY()-customer[[#This Row],[LastLoginDate]]</f>
        <v>787</v>
      </c>
    </row>
    <row r="602" spans="1:13" x14ac:dyDescent="0.3">
      <c r="A602">
        <v>601</v>
      </c>
      <c r="B602" t="s">
        <v>615</v>
      </c>
      <c r="C602">
        <v>40</v>
      </c>
      <c r="D602" t="s">
        <v>11</v>
      </c>
      <c r="E602" t="s">
        <v>15</v>
      </c>
      <c r="F602" s="1">
        <v>44703</v>
      </c>
      <c r="G602" s="1">
        <v>44813</v>
      </c>
      <c r="H602">
        <v>186</v>
      </c>
      <c r="I602">
        <v>4.5</v>
      </c>
      <c r="J602">
        <v>1</v>
      </c>
      <c r="K602" t="str">
        <f>IF(customer[[#This Row],[IsChurned]]=1,"Churned","Active")</f>
        <v>Churned</v>
      </c>
      <c r="L602" t="str">
        <f>TEXT(customer[[#This Row],[SubscriptionDate]],"mmm-yyyy")</f>
        <v>May-2022</v>
      </c>
      <c r="M602" s="1">
        <f ca="1">TODAY()-customer[[#This Row],[LastLoginDate]]</f>
        <v>1230</v>
      </c>
    </row>
    <row r="603" spans="1:13" x14ac:dyDescent="0.3">
      <c r="A603">
        <v>602</v>
      </c>
      <c r="B603" t="s">
        <v>616</v>
      </c>
      <c r="C603">
        <v>64</v>
      </c>
      <c r="D603" t="s">
        <v>11</v>
      </c>
      <c r="E603" t="s">
        <v>12</v>
      </c>
      <c r="F603" s="1">
        <v>45398</v>
      </c>
      <c r="G603" s="1">
        <v>45461</v>
      </c>
      <c r="H603">
        <v>427</v>
      </c>
      <c r="I603">
        <v>1.3</v>
      </c>
      <c r="J603">
        <v>0</v>
      </c>
      <c r="K603" t="str">
        <f>IF(customer[[#This Row],[IsChurned]]=1,"Churned","Active")</f>
        <v>Active</v>
      </c>
      <c r="L603" t="str">
        <f>TEXT(customer[[#This Row],[SubscriptionDate]],"mmm-yyyy")</f>
        <v>Apr-2024</v>
      </c>
      <c r="M603" s="1">
        <f ca="1">TODAY()-customer[[#This Row],[LastLoginDate]]</f>
        <v>582</v>
      </c>
    </row>
    <row r="604" spans="1:13" x14ac:dyDescent="0.3">
      <c r="A604">
        <v>603</v>
      </c>
      <c r="B604" t="s">
        <v>617</v>
      </c>
      <c r="C604">
        <v>35</v>
      </c>
      <c r="D604" t="s">
        <v>14</v>
      </c>
      <c r="E604" t="s">
        <v>18</v>
      </c>
      <c r="F604" s="1">
        <v>45319</v>
      </c>
      <c r="G604" s="1">
        <v>45341</v>
      </c>
      <c r="H604">
        <v>399</v>
      </c>
      <c r="I604">
        <v>3.5</v>
      </c>
      <c r="J604">
        <v>1</v>
      </c>
      <c r="K604" t="str">
        <f>IF(customer[[#This Row],[IsChurned]]=1,"Churned","Active")</f>
        <v>Churned</v>
      </c>
      <c r="L604" t="str">
        <f>TEXT(customer[[#This Row],[SubscriptionDate]],"mmm-yyyy")</f>
        <v>Jan-2024</v>
      </c>
      <c r="M604" s="1">
        <f ca="1">TODAY()-customer[[#This Row],[LastLoginDate]]</f>
        <v>702</v>
      </c>
    </row>
    <row r="605" spans="1:13" x14ac:dyDescent="0.3">
      <c r="A605">
        <v>604</v>
      </c>
      <c r="B605" t="s">
        <v>618</v>
      </c>
      <c r="C605">
        <v>59</v>
      </c>
      <c r="D605" t="s">
        <v>14</v>
      </c>
      <c r="E605" t="s">
        <v>12</v>
      </c>
      <c r="F605" s="1">
        <v>45409</v>
      </c>
      <c r="G605" s="1">
        <v>45513</v>
      </c>
      <c r="H605">
        <v>173</v>
      </c>
      <c r="I605">
        <v>1.3</v>
      </c>
      <c r="J605">
        <v>0</v>
      </c>
      <c r="K605" t="str">
        <f>IF(customer[[#This Row],[IsChurned]]=1,"Churned","Active")</f>
        <v>Active</v>
      </c>
      <c r="L605" t="str">
        <f>TEXT(customer[[#This Row],[SubscriptionDate]],"mmm-yyyy")</f>
        <v>Apr-2024</v>
      </c>
      <c r="M605" s="1">
        <f ca="1">TODAY()-customer[[#This Row],[LastLoginDate]]</f>
        <v>530</v>
      </c>
    </row>
    <row r="606" spans="1:13" x14ac:dyDescent="0.3">
      <c r="A606">
        <v>605</v>
      </c>
      <c r="B606" t="s">
        <v>619</v>
      </c>
      <c r="C606">
        <v>58</v>
      </c>
      <c r="D606" t="s">
        <v>14</v>
      </c>
      <c r="E606" t="s">
        <v>15</v>
      </c>
      <c r="F606" s="1">
        <v>44719</v>
      </c>
      <c r="G606" s="1">
        <v>44906</v>
      </c>
      <c r="H606">
        <v>145</v>
      </c>
      <c r="I606">
        <v>2.2999999999999998</v>
      </c>
      <c r="J606">
        <v>0</v>
      </c>
      <c r="K606" t="str">
        <f>IF(customer[[#This Row],[IsChurned]]=1,"Churned","Active")</f>
        <v>Active</v>
      </c>
      <c r="L606" t="str">
        <f>TEXT(customer[[#This Row],[SubscriptionDate]],"mmm-yyyy")</f>
        <v>Jun-2022</v>
      </c>
      <c r="M606" s="1">
        <f ca="1">TODAY()-customer[[#This Row],[LastLoginDate]]</f>
        <v>1137</v>
      </c>
    </row>
    <row r="607" spans="1:13" x14ac:dyDescent="0.3">
      <c r="A607">
        <v>606</v>
      </c>
      <c r="B607" t="s">
        <v>620</v>
      </c>
      <c r="C607">
        <v>56</v>
      </c>
      <c r="D607" t="s">
        <v>11</v>
      </c>
      <c r="E607" t="s">
        <v>15</v>
      </c>
      <c r="F607" s="1">
        <v>44845</v>
      </c>
      <c r="G607" s="1">
        <v>45149</v>
      </c>
      <c r="H607">
        <v>273</v>
      </c>
      <c r="I607">
        <v>3</v>
      </c>
      <c r="J607">
        <v>0</v>
      </c>
      <c r="K607" t="str">
        <f>IF(customer[[#This Row],[IsChurned]]=1,"Churned","Active")</f>
        <v>Active</v>
      </c>
      <c r="L607" t="str">
        <f>TEXT(customer[[#This Row],[SubscriptionDate]],"mmm-yyyy")</f>
        <v>Oct-2022</v>
      </c>
      <c r="M607" s="1">
        <f ca="1">TODAY()-customer[[#This Row],[LastLoginDate]]</f>
        <v>894</v>
      </c>
    </row>
    <row r="608" spans="1:13" x14ac:dyDescent="0.3">
      <c r="A608">
        <v>607</v>
      </c>
      <c r="B608" t="s">
        <v>621</v>
      </c>
      <c r="C608">
        <v>29</v>
      </c>
      <c r="D608" t="s">
        <v>11</v>
      </c>
      <c r="E608" t="s">
        <v>15</v>
      </c>
      <c r="F608" s="1">
        <v>45018</v>
      </c>
      <c r="G608" s="1">
        <v>45094</v>
      </c>
      <c r="H608">
        <v>308</v>
      </c>
      <c r="I608">
        <v>3</v>
      </c>
      <c r="J608">
        <v>0</v>
      </c>
      <c r="K608" t="str">
        <f>IF(customer[[#This Row],[IsChurned]]=1,"Churned","Active")</f>
        <v>Active</v>
      </c>
      <c r="L608" t="str">
        <f>TEXT(customer[[#This Row],[SubscriptionDate]],"mmm-yyyy")</f>
        <v>Apr-2023</v>
      </c>
      <c r="M608" s="1">
        <f ca="1">TODAY()-customer[[#This Row],[LastLoginDate]]</f>
        <v>949</v>
      </c>
    </row>
    <row r="609" spans="1:13" x14ac:dyDescent="0.3">
      <c r="A609">
        <v>608</v>
      </c>
      <c r="B609" t="s">
        <v>622</v>
      </c>
      <c r="C609">
        <v>28</v>
      </c>
      <c r="D609" t="s">
        <v>11</v>
      </c>
      <c r="E609" t="s">
        <v>15</v>
      </c>
      <c r="F609" s="1">
        <v>44569</v>
      </c>
      <c r="G609" s="1">
        <v>44723</v>
      </c>
      <c r="H609">
        <v>15</v>
      </c>
      <c r="I609">
        <v>2.4</v>
      </c>
      <c r="J609">
        <v>1</v>
      </c>
      <c r="K609" t="str">
        <f>IF(customer[[#This Row],[IsChurned]]=1,"Churned","Active")</f>
        <v>Churned</v>
      </c>
      <c r="L609" t="str">
        <f>TEXT(customer[[#This Row],[SubscriptionDate]],"mmm-yyyy")</f>
        <v>Jan-2022</v>
      </c>
      <c r="M609" s="1">
        <f ca="1">TODAY()-customer[[#This Row],[LastLoginDate]]</f>
        <v>1320</v>
      </c>
    </row>
    <row r="610" spans="1:13" x14ac:dyDescent="0.3">
      <c r="A610">
        <v>609</v>
      </c>
      <c r="B610" t="s">
        <v>623</v>
      </c>
      <c r="C610">
        <v>19</v>
      </c>
      <c r="D610" t="s">
        <v>11</v>
      </c>
      <c r="E610" t="s">
        <v>12</v>
      </c>
      <c r="F610" s="1">
        <v>45286</v>
      </c>
      <c r="G610" s="1">
        <v>45563</v>
      </c>
      <c r="H610">
        <v>492</v>
      </c>
      <c r="I610">
        <v>3.9</v>
      </c>
      <c r="J610">
        <v>0</v>
      </c>
      <c r="K610" t="str">
        <f>IF(customer[[#This Row],[IsChurned]]=1,"Churned","Active")</f>
        <v>Active</v>
      </c>
      <c r="L610" t="str">
        <f>TEXT(customer[[#This Row],[SubscriptionDate]],"mmm-yyyy")</f>
        <v>Dec-2023</v>
      </c>
      <c r="M610" s="1">
        <f ca="1">TODAY()-customer[[#This Row],[LastLoginDate]]</f>
        <v>480</v>
      </c>
    </row>
    <row r="611" spans="1:13" x14ac:dyDescent="0.3">
      <c r="A611">
        <v>610</v>
      </c>
      <c r="B611" t="s">
        <v>624</v>
      </c>
      <c r="C611">
        <v>19</v>
      </c>
      <c r="D611" t="s">
        <v>11</v>
      </c>
      <c r="E611" t="s">
        <v>15</v>
      </c>
      <c r="F611" s="1">
        <v>45100</v>
      </c>
      <c r="G611" s="1">
        <v>45273</v>
      </c>
      <c r="H611">
        <v>335</v>
      </c>
      <c r="I611">
        <v>4.0999999999999996</v>
      </c>
      <c r="J611">
        <v>1</v>
      </c>
      <c r="K611" t="str">
        <f>IF(customer[[#This Row],[IsChurned]]=1,"Churned","Active")</f>
        <v>Churned</v>
      </c>
      <c r="L611" t="str">
        <f>TEXT(customer[[#This Row],[SubscriptionDate]],"mmm-yyyy")</f>
        <v>Jun-2023</v>
      </c>
      <c r="M611" s="1">
        <f ca="1">TODAY()-customer[[#This Row],[LastLoginDate]]</f>
        <v>770</v>
      </c>
    </row>
    <row r="612" spans="1:13" x14ac:dyDescent="0.3">
      <c r="A612">
        <v>611</v>
      </c>
      <c r="B612" t="s">
        <v>625</v>
      </c>
      <c r="C612">
        <v>28</v>
      </c>
      <c r="D612" t="s">
        <v>11</v>
      </c>
      <c r="E612" t="s">
        <v>18</v>
      </c>
      <c r="F612" s="1">
        <v>44952</v>
      </c>
      <c r="G612" s="1">
        <v>44979</v>
      </c>
      <c r="H612">
        <v>438</v>
      </c>
      <c r="I612">
        <v>4.3</v>
      </c>
      <c r="J612">
        <v>1</v>
      </c>
      <c r="K612" t="str">
        <f>IF(customer[[#This Row],[IsChurned]]=1,"Churned","Active")</f>
        <v>Churned</v>
      </c>
      <c r="L612" t="str">
        <f>TEXT(customer[[#This Row],[SubscriptionDate]],"mmm-yyyy")</f>
        <v>Jan-2023</v>
      </c>
      <c r="M612" s="1">
        <f ca="1">TODAY()-customer[[#This Row],[LastLoginDate]]</f>
        <v>1064</v>
      </c>
    </row>
    <row r="613" spans="1:13" x14ac:dyDescent="0.3">
      <c r="A613">
        <v>612</v>
      </c>
      <c r="B613" t="s">
        <v>626</v>
      </c>
      <c r="C613">
        <v>39</v>
      </c>
      <c r="D613" t="s">
        <v>11</v>
      </c>
      <c r="E613" t="s">
        <v>12</v>
      </c>
      <c r="F613" s="1">
        <v>44881</v>
      </c>
      <c r="G613" s="1">
        <v>45108</v>
      </c>
      <c r="H613">
        <v>384</v>
      </c>
      <c r="I613">
        <v>2.1</v>
      </c>
      <c r="J613">
        <v>1</v>
      </c>
      <c r="K613" t="str">
        <f>IF(customer[[#This Row],[IsChurned]]=1,"Churned","Active")</f>
        <v>Churned</v>
      </c>
      <c r="L613" t="str">
        <f>TEXT(customer[[#This Row],[SubscriptionDate]],"mmm-yyyy")</f>
        <v>Nov-2022</v>
      </c>
      <c r="M613" s="1">
        <f ca="1">TODAY()-customer[[#This Row],[LastLoginDate]]</f>
        <v>935</v>
      </c>
    </row>
    <row r="614" spans="1:13" x14ac:dyDescent="0.3">
      <c r="A614">
        <v>613</v>
      </c>
      <c r="B614" t="s">
        <v>627</v>
      </c>
      <c r="C614">
        <v>59</v>
      </c>
      <c r="D614" t="s">
        <v>11</v>
      </c>
      <c r="E614" t="s">
        <v>18</v>
      </c>
      <c r="F614" s="1">
        <v>44629</v>
      </c>
      <c r="G614" s="1">
        <v>44901</v>
      </c>
      <c r="H614">
        <v>143</v>
      </c>
      <c r="I614">
        <v>1.9</v>
      </c>
      <c r="J614">
        <v>1</v>
      </c>
      <c r="K614" t="str">
        <f>IF(customer[[#This Row],[IsChurned]]=1,"Churned","Active")</f>
        <v>Churned</v>
      </c>
      <c r="L614" t="str">
        <f>TEXT(customer[[#This Row],[SubscriptionDate]],"mmm-yyyy")</f>
        <v>Mar-2022</v>
      </c>
      <c r="M614" s="1">
        <f ca="1">TODAY()-customer[[#This Row],[LastLoginDate]]</f>
        <v>1142</v>
      </c>
    </row>
    <row r="615" spans="1:13" x14ac:dyDescent="0.3">
      <c r="A615">
        <v>614</v>
      </c>
      <c r="B615" t="s">
        <v>628</v>
      </c>
      <c r="C615">
        <v>25</v>
      </c>
      <c r="D615" t="s">
        <v>14</v>
      </c>
      <c r="E615" t="s">
        <v>18</v>
      </c>
      <c r="F615" s="1">
        <v>45017</v>
      </c>
      <c r="G615" s="1">
        <v>45105</v>
      </c>
      <c r="H615">
        <v>451</v>
      </c>
      <c r="I615">
        <v>2</v>
      </c>
      <c r="J615">
        <v>1</v>
      </c>
      <c r="K615" t="str">
        <f>IF(customer[[#This Row],[IsChurned]]=1,"Churned","Active")</f>
        <v>Churned</v>
      </c>
      <c r="L615" t="str">
        <f>TEXT(customer[[#This Row],[SubscriptionDate]],"mmm-yyyy")</f>
        <v>Apr-2023</v>
      </c>
      <c r="M615" s="1">
        <f ca="1">TODAY()-customer[[#This Row],[LastLoginDate]]</f>
        <v>938</v>
      </c>
    </row>
    <row r="616" spans="1:13" x14ac:dyDescent="0.3">
      <c r="A616">
        <v>615</v>
      </c>
      <c r="B616" t="s">
        <v>629</v>
      </c>
      <c r="C616">
        <v>60</v>
      </c>
      <c r="D616" t="s">
        <v>14</v>
      </c>
      <c r="E616" t="s">
        <v>12</v>
      </c>
      <c r="F616" s="1">
        <v>45344</v>
      </c>
      <c r="G616" s="1">
        <v>45637</v>
      </c>
      <c r="H616">
        <v>84</v>
      </c>
      <c r="I616">
        <v>2</v>
      </c>
      <c r="J616">
        <v>0</v>
      </c>
      <c r="K616" t="str">
        <f>IF(customer[[#This Row],[IsChurned]]=1,"Churned","Active")</f>
        <v>Active</v>
      </c>
      <c r="L616" t="str">
        <f>TEXT(customer[[#This Row],[SubscriptionDate]],"mmm-yyyy")</f>
        <v>Feb-2024</v>
      </c>
      <c r="M616" s="1">
        <f ca="1">TODAY()-customer[[#This Row],[LastLoginDate]]</f>
        <v>406</v>
      </c>
    </row>
    <row r="617" spans="1:13" x14ac:dyDescent="0.3">
      <c r="A617">
        <v>616</v>
      </c>
      <c r="B617" t="s">
        <v>630</v>
      </c>
      <c r="C617">
        <v>46</v>
      </c>
      <c r="D617" t="s">
        <v>14</v>
      </c>
      <c r="E617" t="s">
        <v>18</v>
      </c>
      <c r="F617" s="1">
        <v>44791</v>
      </c>
      <c r="G617" s="1">
        <v>44933</v>
      </c>
      <c r="H617">
        <v>313</v>
      </c>
      <c r="I617">
        <v>1.8</v>
      </c>
      <c r="J617">
        <v>0</v>
      </c>
      <c r="K617" t="str">
        <f>IF(customer[[#This Row],[IsChurned]]=1,"Churned","Active")</f>
        <v>Active</v>
      </c>
      <c r="L617" t="str">
        <f>TEXT(customer[[#This Row],[SubscriptionDate]],"mmm-yyyy")</f>
        <v>Aug-2022</v>
      </c>
      <c r="M617" s="1">
        <f ca="1">TODAY()-customer[[#This Row],[LastLoginDate]]</f>
        <v>1110</v>
      </c>
    </row>
    <row r="618" spans="1:13" x14ac:dyDescent="0.3">
      <c r="A618">
        <v>617</v>
      </c>
      <c r="B618" t="s">
        <v>631</v>
      </c>
      <c r="C618">
        <v>39</v>
      </c>
      <c r="D618" t="s">
        <v>14</v>
      </c>
      <c r="E618" t="s">
        <v>12</v>
      </c>
      <c r="F618" s="1">
        <v>44875</v>
      </c>
      <c r="G618" s="1">
        <v>45094</v>
      </c>
      <c r="H618">
        <v>366</v>
      </c>
      <c r="I618">
        <v>1</v>
      </c>
      <c r="J618">
        <v>0</v>
      </c>
      <c r="K618" t="str">
        <f>IF(customer[[#This Row],[IsChurned]]=1,"Churned","Active")</f>
        <v>Active</v>
      </c>
      <c r="L618" t="str">
        <f>TEXT(customer[[#This Row],[SubscriptionDate]],"mmm-yyyy")</f>
        <v>Nov-2022</v>
      </c>
      <c r="M618" s="1">
        <f ca="1">TODAY()-customer[[#This Row],[LastLoginDate]]</f>
        <v>949</v>
      </c>
    </row>
    <row r="619" spans="1:13" x14ac:dyDescent="0.3">
      <c r="A619">
        <v>618</v>
      </c>
      <c r="B619" t="s">
        <v>632</v>
      </c>
      <c r="C619">
        <v>42</v>
      </c>
      <c r="D619" t="s">
        <v>11</v>
      </c>
      <c r="E619" t="s">
        <v>12</v>
      </c>
      <c r="F619" s="1">
        <v>45350</v>
      </c>
      <c r="G619" s="1">
        <v>45664</v>
      </c>
      <c r="H619">
        <v>274</v>
      </c>
      <c r="I619">
        <v>1.4</v>
      </c>
      <c r="J619">
        <v>1</v>
      </c>
      <c r="K619" t="str">
        <f>IF(customer[[#This Row],[IsChurned]]=1,"Churned","Active")</f>
        <v>Churned</v>
      </c>
      <c r="L619" t="str">
        <f>TEXT(customer[[#This Row],[SubscriptionDate]],"mmm-yyyy")</f>
        <v>Feb-2024</v>
      </c>
      <c r="M619" s="1">
        <f ca="1">TODAY()-customer[[#This Row],[LastLoginDate]]</f>
        <v>379</v>
      </c>
    </row>
    <row r="620" spans="1:13" x14ac:dyDescent="0.3">
      <c r="A620">
        <v>619</v>
      </c>
      <c r="B620" t="s">
        <v>633</v>
      </c>
      <c r="C620">
        <v>45</v>
      </c>
      <c r="D620" t="s">
        <v>11</v>
      </c>
      <c r="E620" t="s">
        <v>18</v>
      </c>
      <c r="F620" s="1">
        <v>45364</v>
      </c>
      <c r="G620" s="1">
        <v>45448</v>
      </c>
      <c r="H620">
        <v>410</v>
      </c>
      <c r="I620">
        <v>2</v>
      </c>
      <c r="J620">
        <v>0</v>
      </c>
      <c r="K620" t="str">
        <f>IF(customer[[#This Row],[IsChurned]]=1,"Churned","Active")</f>
        <v>Active</v>
      </c>
      <c r="L620" t="str">
        <f>TEXT(customer[[#This Row],[SubscriptionDate]],"mmm-yyyy")</f>
        <v>Mar-2024</v>
      </c>
      <c r="M620" s="1">
        <f ca="1">TODAY()-customer[[#This Row],[LastLoginDate]]</f>
        <v>595</v>
      </c>
    </row>
    <row r="621" spans="1:13" x14ac:dyDescent="0.3">
      <c r="A621">
        <v>620</v>
      </c>
      <c r="B621" t="s">
        <v>634</v>
      </c>
      <c r="C621">
        <v>57</v>
      </c>
      <c r="D621" t="s">
        <v>14</v>
      </c>
      <c r="E621" t="s">
        <v>18</v>
      </c>
      <c r="F621" s="1">
        <v>44649</v>
      </c>
      <c r="G621" s="1">
        <v>44770</v>
      </c>
      <c r="H621">
        <v>54</v>
      </c>
      <c r="I621">
        <v>4.5999999999999996</v>
      </c>
      <c r="J621">
        <v>1</v>
      </c>
      <c r="K621" t="str">
        <f>IF(customer[[#This Row],[IsChurned]]=1,"Churned","Active")</f>
        <v>Churned</v>
      </c>
      <c r="L621" t="str">
        <f>TEXT(customer[[#This Row],[SubscriptionDate]],"mmm-yyyy")</f>
        <v>Mar-2022</v>
      </c>
      <c r="M621" s="1">
        <f ca="1">TODAY()-customer[[#This Row],[LastLoginDate]]</f>
        <v>1273</v>
      </c>
    </row>
    <row r="622" spans="1:13" x14ac:dyDescent="0.3">
      <c r="A622">
        <v>621</v>
      </c>
      <c r="B622" t="s">
        <v>635</v>
      </c>
      <c r="C622">
        <v>42</v>
      </c>
      <c r="D622" t="s">
        <v>11</v>
      </c>
      <c r="E622" t="s">
        <v>12</v>
      </c>
      <c r="F622" s="1">
        <v>45166</v>
      </c>
      <c r="G622" s="1">
        <v>45172</v>
      </c>
      <c r="H622">
        <v>314</v>
      </c>
      <c r="I622">
        <v>1.5</v>
      </c>
      <c r="J622">
        <v>1</v>
      </c>
      <c r="K622" t="str">
        <f>IF(customer[[#This Row],[IsChurned]]=1,"Churned","Active")</f>
        <v>Churned</v>
      </c>
      <c r="L622" t="str">
        <f>TEXT(customer[[#This Row],[SubscriptionDate]],"mmm-yyyy")</f>
        <v>Aug-2023</v>
      </c>
      <c r="M622" s="1">
        <f ca="1">TODAY()-customer[[#This Row],[LastLoginDate]]</f>
        <v>871</v>
      </c>
    </row>
    <row r="623" spans="1:13" x14ac:dyDescent="0.3">
      <c r="A623">
        <v>622</v>
      </c>
      <c r="B623" t="s">
        <v>636</v>
      </c>
      <c r="C623">
        <v>21</v>
      </c>
      <c r="D623" t="s">
        <v>11</v>
      </c>
      <c r="E623" t="s">
        <v>18</v>
      </c>
      <c r="F623" s="1">
        <v>44725</v>
      </c>
      <c r="G623" s="1">
        <v>44907</v>
      </c>
      <c r="H623">
        <v>177</v>
      </c>
      <c r="I623">
        <v>3.2</v>
      </c>
      <c r="J623">
        <v>1</v>
      </c>
      <c r="K623" t="str">
        <f>IF(customer[[#This Row],[IsChurned]]=1,"Churned","Active")</f>
        <v>Churned</v>
      </c>
      <c r="L623" t="str">
        <f>TEXT(customer[[#This Row],[SubscriptionDate]],"mmm-yyyy")</f>
        <v>Jun-2022</v>
      </c>
      <c r="M623" s="1">
        <f ca="1">TODAY()-customer[[#This Row],[LastLoginDate]]</f>
        <v>1136</v>
      </c>
    </row>
    <row r="624" spans="1:13" x14ac:dyDescent="0.3">
      <c r="A624">
        <v>623</v>
      </c>
      <c r="B624" t="s">
        <v>637</v>
      </c>
      <c r="C624">
        <v>43</v>
      </c>
      <c r="D624" t="s">
        <v>11</v>
      </c>
      <c r="E624" t="s">
        <v>12</v>
      </c>
      <c r="F624" s="1">
        <v>45215</v>
      </c>
      <c r="G624" s="1">
        <v>45473</v>
      </c>
      <c r="H624">
        <v>254</v>
      </c>
      <c r="I624">
        <v>4.9000000000000004</v>
      </c>
      <c r="J624">
        <v>0</v>
      </c>
      <c r="K624" t="str">
        <f>IF(customer[[#This Row],[IsChurned]]=1,"Churned","Active")</f>
        <v>Active</v>
      </c>
      <c r="L624" t="str">
        <f>TEXT(customer[[#This Row],[SubscriptionDate]],"mmm-yyyy")</f>
        <v>Oct-2023</v>
      </c>
      <c r="M624" s="1">
        <f ca="1">TODAY()-customer[[#This Row],[LastLoginDate]]</f>
        <v>570</v>
      </c>
    </row>
    <row r="625" spans="1:13" x14ac:dyDescent="0.3">
      <c r="A625">
        <v>624</v>
      </c>
      <c r="B625" t="s">
        <v>638</v>
      </c>
      <c r="C625">
        <v>18</v>
      </c>
      <c r="D625" t="s">
        <v>11</v>
      </c>
      <c r="E625" t="s">
        <v>12</v>
      </c>
      <c r="F625" s="1">
        <v>44824</v>
      </c>
      <c r="G625" s="1">
        <v>45083</v>
      </c>
      <c r="H625">
        <v>362</v>
      </c>
      <c r="I625">
        <v>2.9</v>
      </c>
      <c r="J625">
        <v>1</v>
      </c>
      <c r="K625" t="str">
        <f>IF(customer[[#This Row],[IsChurned]]=1,"Churned","Active")</f>
        <v>Churned</v>
      </c>
      <c r="L625" t="str">
        <f>TEXT(customer[[#This Row],[SubscriptionDate]],"mmm-yyyy")</f>
        <v>Sep-2022</v>
      </c>
      <c r="M625" s="1">
        <f ca="1">TODAY()-customer[[#This Row],[LastLoginDate]]</f>
        <v>960</v>
      </c>
    </row>
    <row r="626" spans="1:13" x14ac:dyDescent="0.3">
      <c r="A626">
        <v>625</v>
      </c>
      <c r="B626" t="s">
        <v>639</v>
      </c>
      <c r="C626">
        <v>19</v>
      </c>
      <c r="D626" t="s">
        <v>11</v>
      </c>
      <c r="E626" t="s">
        <v>18</v>
      </c>
      <c r="F626" s="1">
        <v>45374</v>
      </c>
      <c r="G626" s="1">
        <v>45550</v>
      </c>
      <c r="H626">
        <v>241</v>
      </c>
      <c r="I626">
        <v>2</v>
      </c>
      <c r="J626">
        <v>0</v>
      </c>
      <c r="K626" t="str">
        <f>IF(customer[[#This Row],[IsChurned]]=1,"Churned","Active")</f>
        <v>Active</v>
      </c>
      <c r="L626" t="str">
        <f>TEXT(customer[[#This Row],[SubscriptionDate]],"mmm-yyyy")</f>
        <v>Mar-2024</v>
      </c>
      <c r="M626" s="1">
        <f ca="1">TODAY()-customer[[#This Row],[LastLoginDate]]</f>
        <v>493</v>
      </c>
    </row>
    <row r="627" spans="1:13" x14ac:dyDescent="0.3">
      <c r="A627">
        <v>626</v>
      </c>
      <c r="B627" t="s">
        <v>640</v>
      </c>
      <c r="C627">
        <v>53</v>
      </c>
      <c r="D627" t="s">
        <v>11</v>
      </c>
      <c r="E627" t="s">
        <v>15</v>
      </c>
      <c r="F627" s="1">
        <v>44962</v>
      </c>
      <c r="G627" s="1">
        <v>45286</v>
      </c>
      <c r="H627">
        <v>441</v>
      </c>
      <c r="I627">
        <v>2.6</v>
      </c>
      <c r="J627">
        <v>0</v>
      </c>
      <c r="K627" t="str">
        <f>IF(customer[[#This Row],[IsChurned]]=1,"Churned","Active")</f>
        <v>Active</v>
      </c>
      <c r="L627" t="str">
        <f>TEXT(customer[[#This Row],[SubscriptionDate]],"mmm-yyyy")</f>
        <v>Feb-2023</v>
      </c>
      <c r="M627" s="1">
        <f ca="1">TODAY()-customer[[#This Row],[LastLoginDate]]</f>
        <v>757</v>
      </c>
    </row>
    <row r="628" spans="1:13" x14ac:dyDescent="0.3">
      <c r="A628">
        <v>627</v>
      </c>
      <c r="B628" t="s">
        <v>641</v>
      </c>
      <c r="C628">
        <v>64</v>
      </c>
      <c r="D628" t="s">
        <v>14</v>
      </c>
      <c r="E628" t="s">
        <v>15</v>
      </c>
      <c r="F628" s="1">
        <v>44652</v>
      </c>
      <c r="G628" s="1">
        <v>44681</v>
      </c>
      <c r="H628">
        <v>384</v>
      </c>
      <c r="I628">
        <v>2.8</v>
      </c>
      <c r="J628">
        <v>0</v>
      </c>
      <c r="K628" t="str">
        <f>IF(customer[[#This Row],[IsChurned]]=1,"Churned","Active")</f>
        <v>Active</v>
      </c>
      <c r="L628" t="str">
        <f>TEXT(customer[[#This Row],[SubscriptionDate]],"mmm-yyyy")</f>
        <v>Apr-2022</v>
      </c>
      <c r="M628" s="1">
        <f ca="1">TODAY()-customer[[#This Row],[LastLoginDate]]</f>
        <v>1362</v>
      </c>
    </row>
    <row r="629" spans="1:13" x14ac:dyDescent="0.3">
      <c r="A629">
        <v>628</v>
      </c>
      <c r="B629" t="s">
        <v>642</v>
      </c>
      <c r="C629">
        <v>24</v>
      </c>
      <c r="D629" t="s">
        <v>14</v>
      </c>
      <c r="E629" t="s">
        <v>15</v>
      </c>
      <c r="F629" s="1">
        <v>45100</v>
      </c>
      <c r="G629" s="1">
        <v>45139</v>
      </c>
      <c r="H629">
        <v>340</v>
      </c>
      <c r="I629">
        <v>2.7</v>
      </c>
      <c r="J629">
        <v>1</v>
      </c>
      <c r="K629" t="str">
        <f>IF(customer[[#This Row],[IsChurned]]=1,"Churned","Active")</f>
        <v>Churned</v>
      </c>
      <c r="L629" t="str">
        <f>TEXT(customer[[#This Row],[SubscriptionDate]],"mmm-yyyy")</f>
        <v>Jun-2023</v>
      </c>
      <c r="M629" s="1">
        <f ca="1">TODAY()-customer[[#This Row],[LastLoginDate]]</f>
        <v>904</v>
      </c>
    </row>
    <row r="630" spans="1:13" x14ac:dyDescent="0.3">
      <c r="A630">
        <v>629</v>
      </c>
      <c r="B630" t="s">
        <v>643</v>
      </c>
      <c r="C630">
        <v>55</v>
      </c>
      <c r="D630" t="s">
        <v>11</v>
      </c>
      <c r="E630" t="s">
        <v>18</v>
      </c>
      <c r="F630" s="1">
        <v>45114</v>
      </c>
      <c r="G630" s="1">
        <v>45269</v>
      </c>
      <c r="H630">
        <v>325</v>
      </c>
      <c r="I630">
        <v>3.1</v>
      </c>
      <c r="J630">
        <v>0</v>
      </c>
      <c r="K630" t="str">
        <f>IF(customer[[#This Row],[IsChurned]]=1,"Churned","Active")</f>
        <v>Active</v>
      </c>
      <c r="L630" t="str">
        <f>TEXT(customer[[#This Row],[SubscriptionDate]],"mmm-yyyy")</f>
        <v>Jul-2023</v>
      </c>
      <c r="M630" s="1">
        <f ca="1">TODAY()-customer[[#This Row],[LastLoginDate]]</f>
        <v>774</v>
      </c>
    </row>
    <row r="631" spans="1:13" x14ac:dyDescent="0.3">
      <c r="A631">
        <v>630</v>
      </c>
      <c r="B631" t="s">
        <v>644</v>
      </c>
      <c r="C631">
        <v>37</v>
      </c>
      <c r="D631" t="s">
        <v>14</v>
      </c>
      <c r="E631" t="s">
        <v>12</v>
      </c>
      <c r="F631" s="1">
        <v>44845</v>
      </c>
      <c r="G631" s="1">
        <v>44966</v>
      </c>
      <c r="H631">
        <v>107</v>
      </c>
      <c r="I631">
        <v>3.3</v>
      </c>
      <c r="J631">
        <v>1</v>
      </c>
      <c r="K631" t="str">
        <f>IF(customer[[#This Row],[IsChurned]]=1,"Churned","Active")</f>
        <v>Churned</v>
      </c>
      <c r="L631" t="str">
        <f>TEXT(customer[[#This Row],[SubscriptionDate]],"mmm-yyyy")</f>
        <v>Oct-2022</v>
      </c>
      <c r="M631" s="1">
        <f ca="1">TODAY()-customer[[#This Row],[LastLoginDate]]</f>
        <v>1077</v>
      </c>
    </row>
    <row r="632" spans="1:13" x14ac:dyDescent="0.3">
      <c r="A632">
        <v>631</v>
      </c>
      <c r="B632" t="s">
        <v>645</v>
      </c>
      <c r="C632">
        <v>62</v>
      </c>
      <c r="D632" t="s">
        <v>14</v>
      </c>
      <c r="E632" t="s">
        <v>15</v>
      </c>
      <c r="F632" s="1">
        <v>44710</v>
      </c>
      <c r="G632" s="1">
        <v>45070</v>
      </c>
      <c r="H632">
        <v>340</v>
      </c>
      <c r="I632">
        <v>2.5</v>
      </c>
      <c r="J632">
        <v>0</v>
      </c>
      <c r="K632" t="str">
        <f>IF(customer[[#This Row],[IsChurned]]=1,"Churned","Active")</f>
        <v>Active</v>
      </c>
      <c r="L632" t="str">
        <f>TEXT(customer[[#This Row],[SubscriptionDate]],"mmm-yyyy")</f>
        <v>May-2022</v>
      </c>
      <c r="M632" s="1">
        <f ca="1">TODAY()-customer[[#This Row],[LastLoginDate]]</f>
        <v>973</v>
      </c>
    </row>
    <row r="633" spans="1:13" x14ac:dyDescent="0.3">
      <c r="A633">
        <v>632</v>
      </c>
      <c r="B633" t="s">
        <v>646</v>
      </c>
      <c r="C633">
        <v>20</v>
      </c>
      <c r="D633" t="s">
        <v>11</v>
      </c>
      <c r="E633" t="s">
        <v>12</v>
      </c>
      <c r="F633" s="1">
        <v>45270</v>
      </c>
      <c r="G633" s="1">
        <v>45478</v>
      </c>
      <c r="H633">
        <v>237</v>
      </c>
      <c r="I633">
        <v>5</v>
      </c>
      <c r="J633">
        <v>1</v>
      </c>
      <c r="K633" t="str">
        <f>IF(customer[[#This Row],[IsChurned]]=1,"Churned","Active")</f>
        <v>Churned</v>
      </c>
      <c r="L633" t="str">
        <f>TEXT(customer[[#This Row],[SubscriptionDate]],"mmm-yyyy")</f>
        <v>Dec-2023</v>
      </c>
      <c r="M633" s="1">
        <f ca="1">TODAY()-customer[[#This Row],[LastLoginDate]]</f>
        <v>565</v>
      </c>
    </row>
    <row r="634" spans="1:13" x14ac:dyDescent="0.3">
      <c r="A634">
        <v>633</v>
      </c>
      <c r="B634" t="s">
        <v>647</v>
      </c>
      <c r="C634">
        <v>24</v>
      </c>
      <c r="D634" t="s">
        <v>11</v>
      </c>
      <c r="E634" t="s">
        <v>18</v>
      </c>
      <c r="F634" s="1">
        <v>45154</v>
      </c>
      <c r="G634" s="1">
        <v>45283</v>
      </c>
      <c r="H634">
        <v>321</v>
      </c>
      <c r="I634">
        <v>4.0999999999999996</v>
      </c>
      <c r="J634">
        <v>1</v>
      </c>
      <c r="K634" t="str">
        <f>IF(customer[[#This Row],[IsChurned]]=1,"Churned","Active")</f>
        <v>Churned</v>
      </c>
      <c r="L634" t="str">
        <f>TEXT(customer[[#This Row],[SubscriptionDate]],"mmm-yyyy")</f>
        <v>Aug-2023</v>
      </c>
      <c r="M634" s="1">
        <f ca="1">TODAY()-customer[[#This Row],[LastLoginDate]]</f>
        <v>760</v>
      </c>
    </row>
    <row r="635" spans="1:13" x14ac:dyDescent="0.3">
      <c r="A635">
        <v>634</v>
      </c>
      <c r="B635" t="s">
        <v>648</v>
      </c>
      <c r="C635">
        <v>28</v>
      </c>
      <c r="D635" t="s">
        <v>14</v>
      </c>
      <c r="E635" t="s">
        <v>15</v>
      </c>
      <c r="F635" s="1">
        <v>45196</v>
      </c>
      <c r="G635" s="1">
        <v>45210</v>
      </c>
      <c r="H635">
        <v>303</v>
      </c>
      <c r="I635">
        <v>3.1</v>
      </c>
      <c r="J635">
        <v>0</v>
      </c>
      <c r="K635" t="str">
        <f>IF(customer[[#This Row],[IsChurned]]=1,"Churned","Active")</f>
        <v>Active</v>
      </c>
      <c r="L635" t="str">
        <f>TEXT(customer[[#This Row],[SubscriptionDate]],"mmm-yyyy")</f>
        <v>Sep-2023</v>
      </c>
      <c r="M635" s="1">
        <f ca="1">TODAY()-customer[[#This Row],[LastLoginDate]]</f>
        <v>833</v>
      </c>
    </row>
    <row r="636" spans="1:13" x14ac:dyDescent="0.3">
      <c r="A636">
        <v>635</v>
      </c>
      <c r="B636" t="s">
        <v>649</v>
      </c>
      <c r="C636">
        <v>23</v>
      </c>
      <c r="D636" t="s">
        <v>11</v>
      </c>
      <c r="E636" t="s">
        <v>12</v>
      </c>
      <c r="F636" s="1">
        <v>45459</v>
      </c>
      <c r="G636" s="1">
        <v>45819</v>
      </c>
      <c r="H636">
        <v>499</v>
      </c>
      <c r="I636">
        <v>5</v>
      </c>
      <c r="J636">
        <v>0</v>
      </c>
      <c r="K636" t="str">
        <f>IF(customer[[#This Row],[IsChurned]]=1,"Churned","Active")</f>
        <v>Active</v>
      </c>
      <c r="L636" t="str">
        <f>TEXT(customer[[#This Row],[SubscriptionDate]],"mmm-yyyy")</f>
        <v>Jun-2024</v>
      </c>
      <c r="M636" s="1">
        <f ca="1">TODAY()-customer[[#This Row],[LastLoginDate]]</f>
        <v>224</v>
      </c>
    </row>
    <row r="637" spans="1:13" x14ac:dyDescent="0.3">
      <c r="A637">
        <v>636</v>
      </c>
      <c r="B637" t="s">
        <v>650</v>
      </c>
      <c r="C637">
        <v>43</v>
      </c>
      <c r="D637" t="s">
        <v>11</v>
      </c>
      <c r="E637" t="s">
        <v>15</v>
      </c>
      <c r="F637" s="1">
        <v>45178</v>
      </c>
      <c r="G637" s="1">
        <v>45240</v>
      </c>
      <c r="H637">
        <v>479</v>
      </c>
      <c r="I637">
        <v>4.4000000000000004</v>
      </c>
      <c r="J637">
        <v>1</v>
      </c>
      <c r="K637" t="str">
        <f>IF(customer[[#This Row],[IsChurned]]=1,"Churned","Active")</f>
        <v>Churned</v>
      </c>
      <c r="L637" t="str">
        <f>TEXT(customer[[#This Row],[SubscriptionDate]],"mmm-yyyy")</f>
        <v>Sep-2023</v>
      </c>
      <c r="M637" s="1">
        <f ca="1">TODAY()-customer[[#This Row],[LastLoginDate]]</f>
        <v>803</v>
      </c>
    </row>
    <row r="638" spans="1:13" x14ac:dyDescent="0.3">
      <c r="A638">
        <v>637</v>
      </c>
      <c r="B638" t="s">
        <v>651</v>
      </c>
      <c r="C638">
        <v>49</v>
      </c>
      <c r="D638" t="s">
        <v>14</v>
      </c>
      <c r="E638" t="s">
        <v>18</v>
      </c>
      <c r="F638" s="1">
        <v>44992</v>
      </c>
      <c r="G638" s="1">
        <v>45202</v>
      </c>
      <c r="H638">
        <v>122</v>
      </c>
      <c r="I638">
        <v>4.3</v>
      </c>
      <c r="J638">
        <v>1</v>
      </c>
      <c r="K638" t="str">
        <f>IF(customer[[#This Row],[IsChurned]]=1,"Churned","Active")</f>
        <v>Churned</v>
      </c>
      <c r="L638" t="str">
        <f>TEXT(customer[[#This Row],[SubscriptionDate]],"mmm-yyyy")</f>
        <v>Mar-2023</v>
      </c>
      <c r="M638" s="1">
        <f ca="1">TODAY()-customer[[#This Row],[LastLoginDate]]</f>
        <v>841</v>
      </c>
    </row>
    <row r="639" spans="1:13" x14ac:dyDescent="0.3">
      <c r="A639">
        <v>638</v>
      </c>
      <c r="B639" t="s">
        <v>652</v>
      </c>
      <c r="C639">
        <v>30</v>
      </c>
      <c r="D639" t="s">
        <v>11</v>
      </c>
      <c r="E639" t="s">
        <v>12</v>
      </c>
      <c r="F639" s="1">
        <v>45443</v>
      </c>
      <c r="G639" s="1">
        <v>45644</v>
      </c>
      <c r="H639">
        <v>38</v>
      </c>
      <c r="I639">
        <v>4.9000000000000004</v>
      </c>
      <c r="J639">
        <v>1</v>
      </c>
      <c r="K639" t="str">
        <f>IF(customer[[#This Row],[IsChurned]]=1,"Churned","Active")</f>
        <v>Churned</v>
      </c>
      <c r="L639" t="str">
        <f>TEXT(customer[[#This Row],[SubscriptionDate]],"mmm-yyyy")</f>
        <v>May-2024</v>
      </c>
      <c r="M639" s="1">
        <f ca="1">TODAY()-customer[[#This Row],[LastLoginDate]]</f>
        <v>399</v>
      </c>
    </row>
    <row r="640" spans="1:13" x14ac:dyDescent="0.3">
      <c r="A640">
        <v>639</v>
      </c>
      <c r="B640" t="s">
        <v>653</v>
      </c>
      <c r="C640">
        <v>45</v>
      </c>
      <c r="D640" t="s">
        <v>11</v>
      </c>
      <c r="E640" t="s">
        <v>18</v>
      </c>
      <c r="F640" s="1">
        <v>45116</v>
      </c>
      <c r="G640" s="1">
        <v>45142</v>
      </c>
      <c r="H640">
        <v>373</v>
      </c>
      <c r="I640">
        <v>1.6</v>
      </c>
      <c r="J640">
        <v>0</v>
      </c>
      <c r="K640" t="str">
        <f>IF(customer[[#This Row],[IsChurned]]=1,"Churned","Active")</f>
        <v>Active</v>
      </c>
      <c r="L640" t="str">
        <f>TEXT(customer[[#This Row],[SubscriptionDate]],"mmm-yyyy")</f>
        <v>Jul-2023</v>
      </c>
      <c r="M640" s="1">
        <f ca="1">TODAY()-customer[[#This Row],[LastLoginDate]]</f>
        <v>901</v>
      </c>
    </row>
    <row r="641" spans="1:13" x14ac:dyDescent="0.3">
      <c r="A641">
        <v>640</v>
      </c>
      <c r="B641" t="s">
        <v>654</v>
      </c>
      <c r="C641">
        <v>24</v>
      </c>
      <c r="D641" t="s">
        <v>11</v>
      </c>
      <c r="E641" t="s">
        <v>15</v>
      </c>
      <c r="F641" s="1">
        <v>44654</v>
      </c>
      <c r="G641" s="1">
        <v>44677</v>
      </c>
      <c r="H641">
        <v>421</v>
      </c>
      <c r="I641">
        <v>4</v>
      </c>
      <c r="J641">
        <v>1</v>
      </c>
      <c r="K641" t="str">
        <f>IF(customer[[#This Row],[IsChurned]]=1,"Churned","Active")</f>
        <v>Churned</v>
      </c>
      <c r="L641" t="str">
        <f>TEXT(customer[[#This Row],[SubscriptionDate]],"mmm-yyyy")</f>
        <v>Apr-2022</v>
      </c>
      <c r="M641" s="1">
        <f ca="1">TODAY()-customer[[#This Row],[LastLoginDate]]</f>
        <v>1366</v>
      </c>
    </row>
    <row r="642" spans="1:13" x14ac:dyDescent="0.3">
      <c r="A642">
        <v>641</v>
      </c>
      <c r="B642" t="s">
        <v>655</v>
      </c>
      <c r="C642">
        <v>46</v>
      </c>
      <c r="D642" t="s">
        <v>14</v>
      </c>
      <c r="E642" t="s">
        <v>18</v>
      </c>
      <c r="F642" s="1">
        <v>44977</v>
      </c>
      <c r="G642" s="1">
        <v>45237</v>
      </c>
      <c r="H642">
        <v>89</v>
      </c>
      <c r="I642">
        <v>3.4</v>
      </c>
      <c r="J642">
        <v>0</v>
      </c>
      <c r="K642" t="str">
        <f>IF(customer[[#This Row],[IsChurned]]=1,"Churned","Active")</f>
        <v>Active</v>
      </c>
      <c r="L642" t="str">
        <f>TEXT(customer[[#This Row],[SubscriptionDate]],"mmm-yyyy")</f>
        <v>Feb-2023</v>
      </c>
      <c r="M642" s="1">
        <f ca="1">TODAY()-customer[[#This Row],[LastLoginDate]]</f>
        <v>806</v>
      </c>
    </row>
    <row r="643" spans="1:13" x14ac:dyDescent="0.3">
      <c r="A643">
        <v>642</v>
      </c>
      <c r="B643" t="s">
        <v>656</v>
      </c>
      <c r="C643">
        <v>23</v>
      </c>
      <c r="D643" t="s">
        <v>11</v>
      </c>
      <c r="E643" t="s">
        <v>12</v>
      </c>
      <c r="F643" s="1">
        <v>44623</v>
      </c>
      <c r="G643" s="1">
        <v>44913</v>
      </c>
      <c r="H643">
        <v>297</v>
      </c>
      <c r="I643">
        <v>3.5</v>
      </c>
      <c r="J643">
        <v>1</v>
      </c>
      <c r="K643" t="str">
        <f>IF(customer[[#This Row],[IsChurned]]=1,"Churned","Active")</f>
        <v>Churned</v>
      </c>
      <c r="L643" t="str">
        <f>TEXT(customer[[#This Row],[SubscriptionDate]],"mmm-yyyy")</f>
        <v>Mar-2022</v>
      </c>
      <c r="M643" s="1">
        <f ca="1">TODAY()-customer[[#This Row],[LastLoginDate]]</f>
        <v>1130</v>
      </c>
    </row>
    <row r="644" spans="1:13" x14ac:dyDescent="0.3">
      <c r="A644">
        <v>643</v>
      </c>
      <c r="B644" t="s">
        <v>657</v>
      </c>
      <c r="C644">
        <v>49</v>
      </c>
      <c r="D644" t="s">
        <v>14</v>
      </c>
      <c r="E644" t="s">
        <v>12</v>
      </c>
      <c r="F644" s="1">
        <v>45050</v>
      </c>
      <c r="G644" s="1">
        <v>45107</v>
      </c>
      <c r="H644">
        <v>345</v>
      </c>
      <c r="I644">
        <v>2.7</v>
      </c>
      <c r="J644">
        <v>0</v>
      </c>
      <c r="K644" t="str">
        <f>IF(customer[[#This Row],[IsChurned]]=1,"Churned","Active")</f>
        <v>Active</v>
      </c>
      <c r="L644" t="str">
        <f>TEXT(customer[[#This Row],[SubscriptionDate]],"mmm-yyyy")</f>
        <v>May-2023</v>
      </c>
      <c r="M644" s="1">
        <f ca="1">TODAY()-customer[[#This Row],[LastLoginDate]]</f>
        <v>936</v>
      </c>
    </row>
    <row r="645" spans="1:13" x14ac:dyDescent="0.3">
      <c r="A645">
        <v>644</v>
      </c>
      <c r="B645" t="s">
        <v>658</v>
      </c>
      <c r="C645">
        <v>28</v>
      </c>
      <c r="D645" t="s">
        <v>11</v>
      </c>
      <c r="E645" t="s">
        <v>15</v>
      </c>
      <c r="F645" s="1">
        <v>44586</v>
      </c>
      <c r="G645" s="1">
        <v>44617</v>
      </c>
      <c r="H645">
        <v>251</v>
      </c>
      <c r="I645">
        <v>1.3</v>
      </c>
      <c r="J645">
        <v>0</v>
      </c>
      <c r="K645" t="str">
        <f>IF(customer[[#This Row],[IsChurned]]=1,"Churned","Active")</f>
        <v>Active</v>
      </c>
      <c r="L645" t="str">
        <f>TEXT(customer[[#This Row],[SubscriptionDate]],"mmm-yyyy")</f>
        <v>Jan-2022</v>
      </c>
      <c r="M645" s="1">
        <f ca="1">TODAY()-customer[[#This Row],[LastLoginDate]]</f>
        <v>1426</v>
      </c>
    </row>
    <row r="646" spans="1:13" x14ac:dyDescent="0.3">
      <c r="A646">
        <v>645</v>
      </c>
      <c r="B646" t="s">
        <v>659</v>
      </c>
      <c r="C646">
        <v>58</v>
      </c>
      <c r="D646" t="s">
        <v>11</v>
      </c>
      <c r="E646" t="s">
        <v>18</v>
      </c>
      <c r="F646" s="1">
        <v>44738</v>
      </c>
      <c r="G646" s="1">
        <v>44902</v>
      </c>
      <c r="H646">
        <v>473</v>
      </c>
      <c r="I646">
        <v>2.9</v>
      </c>
      <c r="J646">
        <v>0</v>
      </c>
      <c r="K646" t="str">
        <f>IF(customer[[#This Row],[IsChurned]]=1,"Churned","Active")</f>
        <v>Active</v>
      </c>
      <c r="L646" t="str">
        <f>TEXT(customer[[#This Row],[SubscriptionDate]],"mmm-yyyy")</f>
        <v>Jun-2022</v>
      </c>
      <c r="M646" s="1">
        <f ca="1">TODAY()-customer[[#This Row],[LastLoginDate]]</f>
        <v>1141</v>
      </c>
    </row>
    <row r="647" spans="1:13" x14ac:dyDescent="0.3">
      <c r="A647">
        <v>646</v>
      </c>
      <c r="B647" t="s">
        <v>660</v>
      </c>
      <c r="C647">
        <v>34</v>
      </c>
      <c r="D647" t="s">
        <v>14</v>
      </c>
      <c r="E647" t="s">
        <v>15</v>
      </c>
      <c r="F647" s="1">
        <v>44946</v>
      </c>
      <c r="G647" s="1">
        <v>45269</v>
      </c>
      <c r="H647">
        <v>435</v>
      </c>
      <c r="I647">
        <v>2.9</v>
      </c>
      <c r="J647">
        <v>1</v>
      </c>
      <c r="K647" t="str">
        <f>IF(customer[[#This Row],[IsChurned]]=1,"Churned","Active")</f>
        <v>Churned</v>
      </c>
      <c r="L647" t="str">
        <f>TEXT(customer[[#This Row],[SubscriptionDate]],"mmm-yyyy")</f>
        <v>Jan-2023</v>
      </c>
      <c r="M647" s="1">
        <f ca="1">TODAY()-customer[[#This Row],[LastLoginDate]]</f>
        <v>774</v>
      </c>
    </row>
    <row r="648" spans="1:13" x14ac:dyDescent="0.3">
      <c r="A648">
        <v>647</v>
      </c>
      <c r="B648" t="s">
        <v>661</v>
      </c>
      <c r="C648">
        <v>19</v>
      </c>
      <c r="D648" t="s">
        <v>11</v>
      </c>
      <c r="E648" t="s">
        <v>12</v>
      </c>
      <c r="F648" s="1">
        <v>45059</v>
      </c>
      <c r="G648" s="1">
        <v>45419</v>
      </c>
      <c r="H648">
        <v>106</v>
      </c>
      <c r="I648">
        <v>2.4</v>
      </c>
      <c r="J648">
        <v>0</v>
      </c>
      <c r="K648" t="str">
        <f>IF(customer[[#This Row],[IsChurned]]=1,"Churned","Active")</f>
        <v>Active</v>
      </c>
      <c r="L648" t="str">
        <f>TEXT(customer[[#This Row],[SubscriptionDate]],"mmm-yyyy")</f>
        <v>May-2023</v>
      </c>
      <c r="M648" s="1">
        <f ca="1">TODAY()-customer[[#This Row],[LastLoginDate]]</f>
        <v>624</v>
      </c>
    </row>
    <row r="649" spans="1:13" x14ac:dyDescent="0.3">
      <c r="A649">
        <v>648</v>
      </c>
      <c r="B649" t="s">
        <v>662</v>
      </c>
      <c r="C649">
        <v>61</v>
      </c>
      <c r="D649" t="s">
        <v>14</v>
      </c>
      <c r="E649" t="s">
        <v>12</v>
      </c>
      <c r="F649" s="1">
        <v>45015</v>
      </c>
      <c r="G649" s="1">
        <v>45085</v>
      </c>
      <c r="H649">
        <v>101</v>
      </c>
      <c r="I649">
        <v>2.7</v>
      </c>
      <c r="J649">
        <v>1</v>
      </c>
      <c r="K649" t="str">
        <f>IF(customer[[#This Row],[IsChurned]]=1,"Churned","Active")</f>
        <v>Churned</v>
      </c>
      <c r="L649" t="str">
        <f>TEXT(customer[[#This Row],[SubscriptionDate]],"mmm-yyyy")</f>
        <v>Mar-2023</v>
      </c>
      <c r="M649" s="1">
        <f ca="1">TODAY()-customer[[#This Row],[LastLoginDate]]</f>
        <v>958</v>
      </c>
    </row>
    <row r="650" spans="1:13" x14ac:dyDescent="0.3">
      <c r="A650">
        <v>649</v>
      </c>
      <c r="B650" t="s">
        <v>663</v>
      </c>
      <c r="C650">
        <v>42</v>
      </c>
      <c r="D650" t="s">
        <v>14</v>
      </c>
      <c r="E650" t="s">
        <v>12</v>
      </c>
      <c r="F650" s="1">
        <v>44566</v>
      </c>
      <c r="G650" s="1">
        <v>44844</v>
      </c>
      <c r="H650">
        <v>243</v>
      </c>
      <c r="I650">
        <v>3.9</v>
      </c>
      <c r="J650">
        <v>0</v>
      </c>
      <c r="K650" t="str">
        <f>IF(customer[[#This Row],[IsChurned]]=1,"Churned","Active")</f>
        <v>Active</v>
      </c>
      <c r="L650" t="str">
        <f>TEXT(customer[[#This Row],[SubscriptionDate]],"mmm-yyyy")</f>
        <v>Jan-2022</v>
      </c>
      <c r="M650" s="1">
        <f ca="1">TODAY()-customer[[#This Row],[LastLoginDate]]</f>
        <v>1199</v>
      </c>
    </row>
    <row r="651" spans="1:13" x14ac:dyDescent="0.3">
      <c r="A651">
        <v>650</v>
      </c>
      <c r="B651" t="s">
        <v>664</v>
      </c>
      <c r="C651">
        <v>34</v>
      </c>
      <c r="D651" t="s">
        <v>11</v>
      </c>
      <c r="E651" t="s">
        <v>18</v>
      </c>
      <c r="F651" s="1">
        <v>45419</v>
      </c>
      <c r="G651" s="1">
        <v>45459</v>
      </c>
      <c r="H651">
        <v>290</v>
      </c>
      <c r="I651">
        <v>3.7</v>
      </c>
      <c r="J651">
        <v>1</v>
      </c>
      <c r="K651" t="str">
        <f>IF(customer[[#This Row],[IsChurned]]=1,"Churned","Active")</f>
        <v>Churned</v>
      </c>
      <c r="L651" t="str">
        <f>TEXT(customer[[#This Row],[SubscriptionDate]],"mmm-yyyy")</f>
        <v>May-2024</v>
      </c>
      <c r="M651" s="1">
        <f ca="1">TODAY()-customer[[#This Row],[LastLoginDate]]</f>
        <v>584</v>
      </c>
    </row>
    <row r="652" spans="1:13" x14ac:dyDescent="0.3">
      <c r="A652">
        <v>651</v>
      </c>
      <c r="B652" t="s">
        <v>665</v>
      </c>
      <c r="C652">
        <v>18</v>
      </c>
      <c r="D652" t="s">
        <v>14</v>
      </c>
      <c r="E652" t="s">
        <v>15</v>
      </c>
      <c r="F652" s="1">
        <v>44675</v>
      </c>
      <c r="G652" s="1">
        <v>44820</v>
      </c>
      <c r="H652">
        <v>178</v>
      </c>
      <c r="I652">
        <v>1.9</v>
      </c>
      <c r="J652">
        <v>0</v>
      </c>
      <c r="K652" t="str">
        <f>IF(customer[[#This Row],[IsChurned]]=1,"Churned","Active")</f>
        <v>Active</v>
      </c>
      <c r="L652" t="str">
        <f>TEXT(customer[[#This Row],[SubscriptionDate]],"mmm-yyyy")</f>
        <v>Apr-2022</v>
      </c>
      <c r="M652" s="1">
        <f ca="1">TODAY()-customer[[#This Row],[LastLoginDate]]</f>
        <v>1223</v>
      </c>
    </row>
    <row r="653" spans="1:13" x14ac:dyDescent="0.3">
      <c r="A653">
        <v>652</v>
      </c>
      <c r="B653" t="s">
        <v>666</v>
      </c>
      <c r="C653">
        <v>38</v>
      </c>
      <c r="D653" t="s">
        <v>11</v>
      </c>
      <c r="E653" t="s">
        <v>15</v>
      </c>
      <c r="F653" s="1">
        <v>45349</v>
      </c>
      <c r="G653" s="1">
        <v>45421</v>
      </c>
      <c r="H653">
        <v>153</v>
      </c>
      <c r="I653">
        <v>2</v>
      </c>
      <c r="J653">
        <v>0</v>
      </c>
      <c r="K653" t="str">
        <f>IF(customer[[#This Row],[IsChurned]]=1,"Churned","Active")</f>
        <v>Active</v>
      </c>
      <c r="L653" t="str">
        <f>TEXT(customer[[#This Row],[SubscriptionDate]],"mmm-yyyy")</f>
        <v>Feb-2024</v>
      </c>
      <c r="M653" s="1">
        <f ca="1">TODAY()-customer[[#This Row],[LastLoginDate]]</f>
        <v>622</v>
      </c>
    </row>
    <row r="654" spans="1:13" x14ac:dyDescent="0.3">
      <c r="A654">
        <v>653</v>
      </c>
      <c r="B654" t="s">
        <v>667</v>
      </c>
      <c r="C654">
        <v>42</v>
      </c>
      <c r="D654" t="s">
        <v>14</v>
      </c>
      <c r="E654" t="s">
        <v>18</v>
      </c>
      <c r="F654" s="1">
        <v>45317</v>
      </c>
      <c r="G654" s="1">
        <v>45554</v>
      </c>
      <c r="H654">
        <v>128</v>
      </c>
      <c r="I654">
        <v>2.2999999999999998</v>
      </c>
      <c r="J654">
        <v>0</v>
      </c>
      <c r="K654" t="str">
        <f>IF(customer[[#This Row],[IsChurned]]=1,"Churned","Active")</f>
        <v>Active</v>
      </c>
      <c r="L654" t="str">
        <f>TEXT(customer[[#This Row],[SubscriptionDate]],"mmm-yyyy")</f>
        <v>Jan-2024</v>
      </c>
      <c r="M654" s="1">
        <f ca="1">TODAY()-customer[[#This Row],[LastLoginDate]]</f>
        <v>489</v>
      </c>
    </row>
    <row r="655" spans="1:13" x14ac:dyDescent="0.3">
      <c r="A655">
        <v>654</v>
      </c>
      <c r="B655" t="s">
        <v>668</v>
      </c>
      <c r="C655">
        <v>28</v>
      </c>
      <c r="D655" t="s">
        <v>11</v>
      </c>
      <c r="E655" t="s">
        <v>12</v>
      </c>
      <c r="F655" s="1">
        <v>45169</v>
      </c>
      <c r="G655" s="1">
        <v>45295</v>
      </c>
      <c r="H655">
        <v>235</v>
      </c>
      <c r="I655">
        <v>4.4000000000000004</v>
      </c>
      <c r="J655">
        <v>0</v>
      </c>
      <c r="K655" t="str">
        <f>IF(customer[[#This Row],[IsChurned]]=1,"Churned","Active")</f>
        <v>Active</v>
      </c>
      <c r="L655" t="str">
        <f>TEXT(customer[[#This Row],[SubscriptionDate]],"mmm-yyyy")</f>
        <v>Aug-2023</v>
      </c>
      <c r="M655" s="1">
        <f ca="1">TODAY()-customer[[#This Row],[LastLoginDate]]</f>
        <v>748</v>
      </c>
    </row>
    <row r="656" spans="1:13" x14ac:dyDescent="0.3">
      <c r="A656">
        <v>655</v>
      </c>
      <c r="B656" t="s">
        <v>669</v>
      </c>
      <c r="C656">
        <v>46</v>
      </c>
      <c r="D656" t="s">
        <v>14</v>
      </c>
      <c r="E656" t="s">
        <v>15</v>
      </c>
      <c r="F656" s="1">
        <v>45185</v>
      </c>
      <c r="G656" s="1">
        <v>45479</v>
      </c>
      <c r="H656">
        <v>344</v>
      </c>
      <c r="I656">
        <v>4.5</v>
      </c>
      <c r="J656">
        <v>0</v>
      </c>
      <c r="K656" t="str">
        <f>IF(customer[[#This Row],[IsChurned]]=1,"Churned","Active")</f>
        <v>Active</v>
      </c>
      <c r="L656" t="str">
        <f>TEXT(customer[[#This Row],[SubscriptionDate]],"mmm-yyyy")</f>
        <v>Sep-2023</v>
      </c>
      <c r="M656" s="1">
        <f ca="1">TODAY()-customer[[#This Row],[LastLoginDate]]</f>
        <v>564</v>
      </c>
    </row>
    <row r="657" spans="1:13" x14ac:dyDescent="0.3">
      <c r="A657">
        <v>656</v>
      </c>
      <c r="B657" t="s">
        <v>670</v>
      </c>
      <c r="C657">
        <v>29</v>
      </c>
      <c r="D657" t="s">
        <v>11</v>
      </c>
      <c r="E657" t="s">
        <v>12</v>
      </c>
      <c r="F657" s="1">
        <v>44910</v>
      </c>
      <c r="G657" s="1">
        <v>45044</v>
      </c>
      <c r="H657">
        <v>460</v>
      </c>
      <c r="I657">
        <v>1.1000000000000001</v>
      </c>
      <c r="J657">
        <v>0</v>
      </c>
      <c r="K657" t="str">
        <f>IF(customer[[#This Row],[IsChurned]]=1,"Churned","Active")</f>
        <v>Active</v>
      </c>
      <c r="L657" t="str">
        <f>TEXT(customer[[#This Row],[SubscriptionDate]],"mmm-yyyy")</f>
        <v>Dec-2022</v>
      </c>
      <c r="M657" s="1">
        <f ca="1">TODAY()-customer[[#This Row],[LastLoginDate]]</f>
        <v>999</v>
      </c>
    </row>
    <row r="658" spans="1:13" x14ac:dyDescent="0.3">
      <c r="A658">
        <v>657</v>
      </c>
      <c r="B658" t="s">
        <v>671</v>
      </c>
      <c r="C658">
        <v>56</v>
      </c>
      <c r="D658" t="s">
        <v>14</v>
      </c>
      <c r="E658" t="s">
        <v>12</v>
      </c>
      <c r="F658" s="1">
        <v>45263</v>
      </c>
      <c r="G658" s="1">
        <v>45440</v>
      </c>
      <c r="H658">
        <v>372</v>
      </c>
      <c r="I658">
        <v>1.4</v>
      </c>
      <c r="J658">
        <v>1</v>
      </c>
      <c r="K658" t="str">
        <f>IF(customer[[#This Row],[IsChurned]]=1,"Churned","Active")</f>
        <v>Churned</v>
      </c>
      <c r="L658" t="str">
        <f>TEXT(customer[[#This Row],[SubscriptionDate]],"mmm-yyyy")</f>
        <v>Dec-2023</v>
      </c>
      <c r="M658" s="1">
        <f ca="1">TODAY()-customer[[#This Row],[LastLoginDate]]</f>
        <v>603</v>
      </c>
    </row>
    <row r="659" spans="1:13" x14ac:dyDescent="0.3">
      <c r="A659">
        <v>658</v>
      </c>
      <c r="B659" t="s">
        <v>672</v>
      </c>
      <c r="C659">
        <v>48</v>
      </c>
      <c r="D659" t="s">
        <v>14</v>
      </c>
      <c r="E659" t="s">
        <v>15</v>
      </c>
      <c r="F659" s="1">
        <v>45339</v>
      </c>
      <c r="G659" s="1">
        <v>45540</v>
      </c>
      <c r="H659">
        <v>398</v>
      </c>
      <c r="I659">
        <v>2.8</v>
      </c>
      <c r="J659">
        <v>1</v>
      </c>
      <c r="K659" t="str">
        <f>IF(customer[[#This Row],[IsChurned]]=1,"Churned","Active")</f>
        <v>Churned</v>
      </c>
      <c r="L659" t="str">
        <f>TEXT(customer[[#This Row],[SubscriptionDate]],"mmm-yyyy")</f>
        <v>Feb-2024</v>
      </c>
      <c r="M659" s="1">
        <f ca="1">TODAY()-customer[[#This Row],[LastLoginDate]]</f>
        <v>503</v>
      </c>
    </row>
    <row r="660" spans="1:13" x14ac:dyDescent="0.3">
      <c r="A660">
        <v>659</v>
      </c>
      <c r="B660" t="s">
        <v>673</v>
      </c>
      <c r="C660">
        <v>28</v>
      </c>
      <c r="D660" t="s">
        <v>14</v>
      </c>
      <c r="E660" t="s">
        <v>15</v>
      </c>
      <c r="F660" s="1">
        <v>44991</v>
      </c>
      <c r="G660" s="1">
        <v>45347</v>
      </c>
      <c r="H660">
        <v>81</v>
      </c>
      <c r="I660">
        <v>1</v>
      </c>
      <c r="J660">
        <v>1</v>
      </c>
      <c r="K660" t="str">
        <f>IF(customer[[#This Row],[IsChurned]]=1,"Churned","Active")</f>
        <v>Churned</v>
      </c>
      <c r="L660" t="str">
        <f>TEXT(customer[[#This Row],[SubscriptionDate]],"mmm-yyyy")</f>
        <v>Mar-2023</v>
      </c>
      <c r="M660" s="1">
        <f ca="1">TODAY()-customer[[#This Row],[LastLoginDate]]</f>
        <v>696</v>
      </c>
    </row>
    <row r="661" spans="1:13" x14ac:dyDescent="0.3">
      <c r="A661">
        <v>660</v>
      </c>
      <c r="B661" t="s">
        <v>674</v>
      </c>
      <c r="C661">
        <v>56</v>
      </c>
      <c r="D661" t="s">
        <v>14</v>
      </c>
      <c r="E661" t="s">
        <v>15</v>
      </c>
      <c r="F661" s="1">
        <v>45006</v>
      </c>
      <c r="G661" s="1">
        <v>45264</v>
      </c>
      <c r="H661">
        <v>115</v>
      </c>
      <c r="I661">
        <v>2.5</v>
      </c>
      <c r="J661">
        <v>1</v>
      </c>
      <c r="K661" t="str">
        <f>IF(customer[[#This Row],[IsChurned]]=1,"Churned","Active")</f>
        <v>Churned</v>
      </c>
      <c r="L661" t="str">
        <f>TEXT(customer[[#This Row],[SubscriptionDate]],"mmm-yyyy")</f>
        <v>Mar-2023</v>
      </c>
      <c r="M661" s="1">
        <f ca="1">TODAY()-customer[[#This Row],[LastLoginDate]]</f>
        <v>779</v>
      </c>
    </row>
    <row r="662" spans="1:13" x14ac:dyDescent="0.3">
      <c r="A662">
        <v>661</v>
      </c>
      <c r="B662" t="s">
        <v>675</v>
      </c>
      <c r="C662">
        <v>56</v>
      </c>
      <c r="D662" t="s">
        <v>11</v>
      </c>
      <c r="E662" t="s">
        <v>12</v>
      </c>
      <c r="F662" s="1">
        <v>45116</v>
      </c>
      <c r="G662" s="1">
        <v>45186</v>
      </c>
      <c r="H662">
        <v>392</v>
      </c>
      <c r="I662">
        <v>2.2000000000000002</v>
      </c>
      <c r="J662">
        <v>0</v>
      </c>
      <c r="K662" t="str">
        <f>IF(customer[[#This Row],[IsChurned]]=1,"Churned","Active")</f>
        <v>Active</v>
      </c>
      <c r="L662" t="str">
        <f>TEXT(customer[[#This Row],[SubscriptionDate]],"mmm-yyyy")</f>
        <v>Jul-2023</v>
      </c>
      <c r="M662" s="1">
        <f ca="1">TODAY()-customer[[#This Row],[LastLoginDate]]</f>
        <v>857</v>
      </c>
    </row>
    <row r="663" spans="1:13" x14ac:dyDescent="0.3">
      <c r="A663">
        <v>662</v>
      </c>
      <c r="B663" t="s">
        <v>676</v>
      </c>
      <c r="C663">
        <v>23</v>
      </c>
      <c r="D663" t="s">
        <v>11</v>
      </c>
      <c r="E663" t="s">
        <v>15</v>
      </c>
      <c r="F663" s="1">
        <v>45043</v>
      </c>
      <c r="G663" s="1">
        <v>45082</v>
      </c>
      <c r="H663">
        <v>58</v>
      </c>
      <c r="I663">
        <v>1.3</v>
      </c>
      <c r="J663">
        <v>1</v>
      </c>
      <c r="K663" t="str">
        <f>IF(customer[[#This Row],[IsChurned]]=1,"Churned","Active")</f>
        <v>Churned</v>
      </c>
      <c r="L663" t="str">
        <f>TEXT(customer[[#This Row],[SubscriptionDate]],"mmm-yyyy")</f>
        <v>Apr-2023</v>
      </c>
      <c r="M663" s="1">
        <f ca="1">TODAY()-customer[[#This Row],[LastLoginDate]]</f>
        <v>961</v>
      </c>
    </row>
    <row r="664" spans="1:13" x14ac:dyDescent="0.3">
      <c r="A664">
        <v>663</v>
      </c>
      <c r="B664" t="s">
        <v>677</v>
      </c>
      <c r="C664">
        <v>46</v>
      </c>
      <c r="D664" t="s">
        <v>11</v>
      </c>
      <c r="E664" t="s">
        <v>15</v>
      </c>
      <c r="F664" s="1">
        <v>44844</v>
      </c>
      <c r="G664" s="1">
        <v>45140</v>
      </c>
      <c r="H664">
        <v>264</v>
      </c>
      <c r="I664">
        <v>2.7</v>
      </c>
      <c r="J664">
        <v>0</v>
      </c>
      <c r="K664" t="str">
        <f>IF(customer[[#This Row],[IsChurned]]=1,"Churned","Active")</f>
        <v>Active</v>
      </c>
      <c r="L664" t="str">
        <f>TEXT(customer[[#This Row],[SubscriptionDate]],"mmm-yyyy")</f>
        <v>Oct-2022</v>
      </c>
      <c r="M664" s="1">
        <f ca="1">TODAY()-customer[[#This Row],[LastLoginDate]]</f>
        <v>903</v>
      </c>
    </row>
    <row r="665" spans="1:13" x14ac:dyDescent="0.3">
      <c r="A665">
        <v>664</v>
      </c>
      <c r="B665" t="s">
        <v>678</v>
      </c>
      <c r="C665">
        <v>21</v>
      </c>
      <c r="D665" t="s">
        <v>14</v>
      </c>
      <c r="E665" t="s">
        <v>18</v>
      </c>
      <c r="F665" s="1">
        <v>45135</v>
      </c>
      <c r="G665" s="1">
        <v>45437</v>
      </c>
      <c r="H665">
        <v>319</v>
      </c>
      <c r="I665">
        <v>2.7</v>
      </c>
      <c r="J665">
        <v>0</v>
      </c>
      <c r="K665" t="str">
        <f>IF(customer[[#This Row],[IsChurned]]=1,"Churned","Active")</f>
        <v>Active</v>
      </c>
      <c r="L665" t="str">
        <f>TEXT(customer[[#This Row],[SubscriptionDate]],"mmm-yyyy")</f>
        <v>Jul-2023</v>
      </c>
      <c r="M665" s="1">
        <f ca="1">TODAY()-customer[[#This Row],[LastLoginDate]]</f>
        <v>606</v>
      </c>
    </row>
    <row r="666" spans="1:13" x14ac:dyDescent="0.3">
      <c r="A666">
        <v>665</v>
      </c>
      <c r="B666" t="s">
        <v>679</v>
      </c>
      <c r="C666">
        <v>34</v>
      </c>
      <c r="D666" t="s">
        <v>14</v>
      </c>
      <c r="E666" t="s">
        <v>12</v>
      </c>
      <c r="F666" s="1">
        <v>45291</v>
      </c>
      <c r="G666" s="1">
        <v>45609</v>
      </c>
      <c r="H666">
        <v>205</v>
      </c>
      <c r="I666">
        <v>2.9</v>
      </c>
      <c r="J666">
        <v>1</v>
      </c>
      <c r="K666" t="str">
        <f>IF(customer[[#This Row],[IsChurned]]=1,"Churned","Active")</f>
        <v>Churned</v>
      </c>
      <c r="L666" t="str">
        <f>TEXT(customer[[#This Row],[SubscriptionDate]],"mmm-yyyy")</f>
        <v>Dec-2023</v>
      </c>
      <c r="M666" s="1">
        <f ca="1">TODAY()-customer[[#This Row],[LastLoginDate]]</f>
        <v>434</v>
      </c>
    </row>
    <row r="667" spans="1:13" x14ac:dyDescent="0.3">
      <c r="A667">
        <v>666</v>
      </c>
      <c r="B667" t="s">
        <v>680</v>
      </c>
      <c r="C667">
        <v>54</v>
      </c>
      <c r="D667" t="s">
        <v>14</v>
      </c>
      <c r="E667" t="s">
        <v>15</v>
      </c>
      <c r="F667" s="1">
        <v>44569</v>
      </c>
      <c r="G667" s="1">
        <v>44769</v>
      </c>
      <c r="H667">
        <v>159</v>
      </c>
      <c r="I667">
        <v>3.2</v>
      </c>
      <c r="J667">
        <v>0</v>
      </c>
      <c r="K667" t="str">
        <f>IF(customer[[#This Row],[IsChurned]]=1,"Churned","Active")</f>
        <v>Active</v>
      </c>
      <c r="L667" t="str">
        <f>TEXT(customer[[#This Row],[SubscriptionDate]],"mmm-yyyy")</f>
        <v>Jan-2022</v>
      </c>
      <c r="M667" s="1">
        <f ca="1">TODAY()-customer[[#This Row],[LastLoginDate]]</f>
        <v>1274</v>
      </c>
    </row>
    <row r="668" spans="1:13" x14ac:dyDescent="0.3">
      <c r="A668">
        <v>667</v>
      </c>
      <c r="B668" t="s">
        <v>681</v>
      </c>
      <c r="C668">
        <v>46</v>
      </c>
      <c r="D668" t="s">
        <v>11</v>
      </c>
      <c r="E668" t="s">
        <v>12</v>
      </c>
      <c r="F668" s="1">
        <v>44579</v>
      </c>
      <c r="G668" s="1">
        <v>44718</v>
      </c>
      <c r="H668">
        <v>152</v>
      </c>
      <c r="I668">
        <v>2.2000000000000002</v>
      </c>
      <c r="J668">
        <v>1</v>
      </c>
      <c r="K668" t="str">
        <f>IF(customer[[#This Row],[IsChurned]]=1,"Churned","Active")</f>
        <v>Churned</v>
      </c>
      <c r="L668" t="str">
        <f>TEXT(customer[[#This Row],[SubscriptionDate]],"mmm-yyyy")</f>
        <v>Jan-2022</v>
      </c>
      <c r="M668" s="1">
        <f ca="1">TODAY()-customer[[#This Row],[LastLoginDate]]</f>
        <v>1325</v>
      </c>
    </row>
    <row r="669" spans="1:13" x14ac:dyDescent="0.3">
      <c r="A669">
        <v>668</v>
      </c>
      <c r="B669" t="s">
        <v>682</v>
      </c>
      <c r="C669">
        <v>64</v>
      </c>
      <c r="D669" t="s">
        <v>11</v>
      </c>
      <c r="E669" t="s">
        <v>12</v>
      </c>
      <c r="F669" s="1">
        <v>44816</v>
      </c>
      <c r="G669" s="1">
        <v>45172</v>
      </c>
      <c r="H669">
        <v>76</v>
      </c>
      <c r="I669">
        <v>1.4</v>
      </c>
      <c r="J669">
        <v>0</v>
      </c>
      <c r="K669" t="str">
        <f>IF(customer[[#This Row],[IsChurned]]=1,"Churned","Active")</f>
        <v>Active</v>
      </c>
      <c r="L669" t="str">
        <f>TEXT(customer[[#This Row],[SubscriptionDate]],"mmm-yyyy")</f>
        <v>Sep-2022</v>
      </c>
      <c r="M669" s="1">
        <f ca="1">TODAY()-customer[[#This Row],[LastLoginDate]]</f>
        <v>871</v>
      </c>
    </row>
    <row r="670" spans="1:13" x14ac:dyDescent="0.3">
      <c r="A670">
        <v>669</v>
      </c>
      <c r="B670" t="s">
        <v>683</v>
      </c>
      <c r="C670">
        <v>55</v>
      </c>
      <c r="D670" t="s">
        <v>14</v>
      </c>
      <c r="E670" t="s">
        <v>12</v>
      </c>
      <c r="F670" s="1">
        <v>45079</v>
      </c>
      <c r="G670" s="1">
        <v>45254</v>
      </c>
      <c r="H670">
        <v>287</v>
      </c>
      <c r="I670">
        <v>4.5999999999999996</v>
      </c>
      <c r="J670">
        <v>0</v>
      </c>
      <c r="K670" t="str">
        <f>IF(customer[[#This Row],[IsChurned]]=1,"Churned","Active")</f>
        <v>Active</v>
      </c>
      <c r="L670" t="str">
        <f>TEXT(customer[[#This Row],[SubscriptionDate]],"mmm-yyyy")</f>
        <v>Jun-2023</v>
      </c>
      <c r="M670" s="1">
        <f ca="1">TODAY()-customer[[#This Row],[LastLoginDate]]</f>
        <v>789</v>
      </c>
    </row>
    <row r="671" spans="1:13" x14ac:dyDescent="0.3">
      <c r="A671">
        <v>670</v>
      </c>
      <c r="B671" t="s">
        <v>684</v>
      </c>
      <c r="C671">
        <v>42</v>
      </c>
      <c r="D671" t="s">
        <v>11</v>
      </c>
      <c r="E671" t="s">
        <v>12</v>
      </c>
      <c r="F671" s="1">
        <v>45048</v>
      </c>
      <c r="G671" s="1">
        <v>45179</v>
      </c>
      <c r="H671">
        <v>257</v>
      </c>
      <c r="I671">
        <v>3.3</v>
      </c>
      <c r="J671">
        <v>1</v>
      </c>
      <c r="K671" t="str">
        <f>IF(customer[[#This Row],[IsChurned]]=1,"Churned","Active")</f>
        <v>Churned</v>
      </c>
      <c r="L671" t="str">
        <f>TEXT(customer[[#This Row],[SubscriptionDate]],"mmm-yyyy")</f>
        <v>May-2023</v>
      </c>
      <c r="M671" s="1">
        <f ca="1">TODAY()-customer[[#This Row],[LastLoginDate]]</f>
        <v>864</v>
      </c>
    </row>
    <row r="672" spans="1:13" x14ac:dyDescent="0.3">
      <c r="A672">
        <v>671</v>
      </c>
      <c r="B672" t="s">
        <v>685</v>
      </c>
      <c r="C672">
        <v>60</v>
      </c>
      <c r="D672" t="s">
        <v>14</v>
      </c>
      <c r="E672" t="s">
        <v>15</v>
      </c>
      <c r="F672" s="1">
        <v>45048</v>
      </c>
      <c r="G672" s="1">
        <v>45123</v>
      </c>
      <c r="H672">
        <v>89</v>
      </c>
      <c r="I672">
        <v>4.5</v>
      </c>
      <c r="J672">
        <v>0</v>
      </c>
      <c r="K672" t="str">
        <f>IF(customer[[#This Row],[IsChurned]]=1,"Churned","Active")</f>
        <v>Active</v>
      </c>
      <c r="L672" t="str">
        <f>TEXT(customer[[#This Row],[SubscriptionDate]],"mmm-yyyy")</f>
        <v>May-2023</v>
      </c>
      <c r="M672" s="1">
        <f ca="1">TODAY()-customer[[#This Row],[LastLoginDate]]</f>
        <v>920</v>
      </c>
    </row>
    <row r="673" spans="1:13" x14ac:dyDescent="0.3">
      <c r="A673">
        <v>672</v>
      </c>
      <c r="B673" t="s">
        <v>686</v>
      </c>
      <c r="C673">
        <v>35</v>
      </c>
      <c r="D673" t="s">
        <v>11</v>
      </c>
      <c r="E673" t="s">
        <v>15</v>
      </c>
      <c r="F673" s="1">
        <v>44619</v>
      </c>
      <c r="G673" s="1">
        <v>44673</v>
      </c>
      <c r="H673">
        <v>283</v>
      </c>
      <c r="I673">
        <v>4.5999999999999996</v>
      </c>
      <c r="J673">
        <v>1</v>
      </c>
      <c r="K673" t="str">
        <f>IF(customer[[#This Row],[IsChurned]]=1,"Churned","Active")</f>
        <v>Churned</v>
      </c>
      <c r="L673" t="str">
        <f>TEXT(customer[[#This Row],[SubscriptionDate]],"mmm-yyyy")</f>
        <v>Feb-2022</v>
      </c>
      <c r="M673" s="1">
        <f ca="1">TODAY()-customer[[#This Row],[LastLoginDate]]</f>
        <v>1370</v>
      </c>
    </row>
    <row r="674" spans="1:13" x14ac:dyDescent="0.3">
      <c r="A674">
        <v>673</v>
      </c>
      <c r="B674" t="s">
        <v>687</v>
      </c>
      <c r="C674">
        <v>33</v>
      </c>
      <c r="D674" t="s">
        <v>11</v>
      </c>
      <c r="E674" t="s">
        <v>18</v>
      </c>
      <c r="F674" s="1">
        <v>44678</v>
      </c>
      <c r="G674" s="1">
        <v>44790</v>
      </c>
      <c r="H674">
        <v>192</v>
      </c>
      <c r="I674">
        <v>1.5</v>
      </c>
      <c r="J674">
        <v>1</v>
      </c>
      <c r="K674" t="str">
        <f>IF(customer[[#This Row],[IsChurned]]=1,"Churned","Active")</f>
        <v>Churned</v>
      </c>
      <c r="L674" t="str">
        <f>TEXT(customer[[#This Row],[SubscriptionDate]],"mmm-yyyy")</f>
        <v>Apr-2022</v>
      </c>
      <c r="M674" s="1">
        <f ca="1">TODAY()-customer[[#This Row],[LastLoginDate]]</f>
        <v>1253</v>
      </c>
    </row>
    <row r="675" spans="1:13" x14ac:dyDescent="0.3">
      <c r="A675">
        <v>674</v>
      </c>
      <c r="B675" t="s">
        <v>688</v>
      </c>
      <c r="C675">
        <v>55</v>
      </c>
      <c r="D675" t="s">
        <v>11</v>
      </c>
      <c r="E675" t="s">
        <v>15</v>
      </c>
      <c r="F675" s="1">
        <v>44921</v>
      </c>
      <c r="G675" s="1">
        <v>45139</v>
      </c>
      <c r="H675">
        <v>124</v>
      </c>
      <c r="I675">
        <v>4.0999999999999996</v>
      </c>
      <c r="J675">
        <v>0</v>
      </c>
      <c r="K675" t="str">
        <f>IF(customer[[#This Row],[IsChurned]]=1,"Churned","Active")</f>
        <v>Active</v>
      </c>
      <c r="L675" t="str">
        <f>TEXT(customer[[#This Row],[SubscriptionDate]],"mmm-yyyy")</f>
        <v>Dec-2022</v>
      </c>
      <c r="M675" s="1">
        <f ca="1">TODAY()-customer[[#This Row],[LastLoginDate]]</f>
        <v>904</v>
      </c>
    </row>
    <row r="676" spans="1:13" x14ac:dyDescent="0.3">
      <c r="A676">
        <v>675</v>
      </c>
      <c r="B676" t="s">
        <v>689</v>
      </c>
      <c r="C676">
        <v>37</v>
      </c>
      <c r="D676" t="s">
        <v>14</v>
      </c>
      <c r="E676" t="s">
        <v>18</v>
      </c>
      <c r="F676" s="1">
        <v>44871</v>
      </c>
      <c r="G676" s="1">
        <v>45234</v>
      </c>
      <c r="H676">
        <v>65</v>
      </c>
      <c r="I676">
        <v>2.9</v>
      </c>
      <c r="J676">
        <v>0</v>
      </c>
      <c r="K676" t="str">
        <f>IF(customer[[#This Row],[IsChurned]]=1,"Churned","Active")</f>
        <v>Active</v>
      </c>
      <c r="L676" t="str">
        <f>TEXT(customer[[#This Row],[SubscriptionDate]],"mmm-yyyy")</f>
        <v>Nov-2022</v>
      </c>
      <c r="M676" s="1">
        <f ca="1">TODAY()-customer[[#This Row],[LastLoginDate]]</f>
        <v>809</v>
      </c>
    </row>
    <row r="677" spans="1:13" x14ac:dyDescent="0.3">
      <c r="A677">
        <v>676</v>
      </c>
      <c r="B677" t="s">
        <v>690</v>
      </c>
      <c r="C677">
        <v>30</v>
      </c>
      <c r="D677" t="s">
        <v>14</v>
      </c>
      <c r="E677" t="s">
        <v>12</v>
      </c>
      <c r="F677" s="1">
        <v>45257</v>
      </c>
      <c r="G677" s="1">
        <v>45282</v>
      </c>
      <c r="H677">
        <v>2</v>
      </c>
      <c r="I677">
        <v>2.1</v>
      </c>
      <c r="J677">
        <v>1</v>
      </c>
      <c r="K677" t="str">
        <f>IF(customer[[#This Row],[IsChurned]]=1,"Churned","Active")</f>
        <v>Churned</v>
      </c>
      <c r="L677" t="str">
        <f>TEXT(customer[[#This Row],[SubscriptionDate]],"mmm-yyyy")</f>
        <v>Nov-2023</v>
      </c>
      <c r="M677" s="1">
        <f ca="1">TODAY()-customer[[#This Row],[LastLoginDate]]</f>
        <v>761</v>
      </c>
    </row>
    <row r="678" spans="1:13" x14ac:dyDescent="0.3">
      <c r="A678">
        <v>677</v>
      </c>
      <c r="B678" t="s">
        <v>691</v>
      </c>
      <c r="C678">
        <v>53</v>
      </c>
      <c r="D678" t="s">
        <v>11</v>
      </c>
      <c r="E678" t="s">
        <v>12</v>
      </c>
      <c r="F678" s="1">
        <v>45295</v>
      </c>
      <c r="G678" s="1">
        <v>45654</v>
      </c>
      <c r="H678">
        <v>58</v>
      </c>
      <c r="I678">
        <v>4.0999999999999996</v>
      </c>
      <c r="J678">
        <v>1</v>
      </c>
      <c r="K678" t="str">
        <f>IF(customer[[#This Row],[IsChurned]]=1,"Churned","Active")</f>
        <v>Churned</v>
      </c>
      <c r="L678" t="str">
        <f>TEXT(customer[[#This Row],[SubscriptionDate]],"mmm-yyyy")</f>
        <v>Jan-2024</v>
      </c>
      <c r="M678" s="1">
        <f ca="1">TODAY()-customer[[#This Row],[LastLoginDate]]</f>
        <v>389</v>
      </c>
    </row>
    <row r="679" spans="1:13" x14ac:dyDescent="0.3">
      <c r="A679">
        <v>678</v>
      </c>
      <c r="B679" t="s">
        <v>692</v>
      </c>
      <c r="C679">
        <v>22</v>
      </c>
      <c r="D679" t="s">
        <v>14</v>
      </c>
      <c r="E679" t="s">
        <v>12</v>
      </c>
      <c r="F679" s="1">
        <v>44888</v>
      </c>
      <c r="G679" s="1">
        <v>45105</v>
      </c>
      <c r="H679">
        <v>191</v>
      </c>
      <c r="I679">
        <v>1.8</v>
      </c>
      <c r="J679">
        <v>0</v>
      </c>
      <c r="K679" t="str">
        <f>IF(customer[[#This Row],[IsChurned]]=1,"Churned","Active")</f>
        <v>Active</v>
      </c>
      <c r="L679" t="str">
        <f>TEXT(customer[[#This Row],[SubscriptionDate]],"mmm-yyyy")</f>
        <v>Nov-2022</v>
      </c>
      <c r="M679" s="1">
        <f ca="1">TODAY()-customer[[#This Row],[LastLoginDate]]</f>
        <v>938</v>
      </c>
    </row>
    <row r="680" spans="1:13" x14ac:dyDescent="0.3">
      <c r="A680">
        <v>679</v>
      </c>
      <c r="B680" t="s">
        <v>693</v>
      </c>
      <c r="C680">
        <v>53</v>
      </c>
      <c r="D680" t="s">
        <v>14</v>
      </c>
      <c r="E680" t="s">
        <v>18</v>
      </c>
      <c r="F680" s="1">
        <v>44674</v>
      </c>
      <c r="G680" s="1">
        <v>44727</v>
      </c>
      <c r="H680">
        <v>358</v>
      </c>
      <c r="I680">
        <v>1.4</v>
      </c>
      <c r="J680">
        <v>0</v>
      </c>
      <c r="K680" t="str">
        <f>IF(customer[[#This Row],[IsChurned]]=1,"Churned","Active")</f>
        <v>Active</v>
      </c>
      <c r="L680" t="str">
        <f>TEXT(customer[[#This Row],[SubscriptionDate]],"mmm-yyyy")</f>
        <v>Apr-2022</v>
      </c>
      <c r="M680" s="1">
        <f ca="1">TODAY()-customer[[#This Row],[LastLoginDate]]</f>
        <v>1316</v>
      </c>
    </row>
    <row r="681" spans="1:13" x14ac:dyDescent="0.3">
      <c r="A681">
        <v>680</v>
      </c>
      <c r="B681" t="s">
        <v>694</v>
      </c>
      <c r="C681">
        <v>25</v>
      </c>
      <c r="D681" t="s">
        <v>14</v>
      </c>
      <c r="E681" t="s">
        <v>18</v>
      </c>
      <c r="F681" s="1">
        <v>44622</v>
      </c>
      <c r="G681" s="1">
        <v>44926</v>
      </c>
      <c r="H681">
        <v>258</v>
      </c>
      <c r="I681">
        <v>1.1000000000000001</v>
      </c>
      <c r="J681">
        <v>0</v>
      </c>
      <c r="K681" t="str">
        <f>IF(customer[[#This Row],[IsChurned]]=1,"Churned","Active")</f>
        <v>Active</v>
      </c>
      <c r="L681" t="str">
        <f>TEXT(customer[[#This Row],[SubscriptionDate]],"mmm-yyyy")</f>
        <v>Mar-2022</v>
      </c>
      <c r="M681" s="1">
        <f ca="1">TODAY()-customer[[#This Row],[LastLoginDate]]</f>
        <v>1117</v>
      </c>
    </row>
    <row r="682" spans="1:13" x14ac:dyDescent="0.3">
      <c r="A682">
        <v>681</v>
      </c>
      <c r="B682" t="s">
        <v>695</v>
      </c>
      <c r="C682">
        <v>27</v>
      </c>
      <c r="D682" t="s">
        <v>14</v>
      </c>
      <c r="E682" t="s">
        <v>12</v>
      </c>
      <c r="F682" s="1">
        <v>44988</v>
      </c>
      <c r="G682" s="1">
        <v>45247</v>
      </c>
      <c r="H682">
        <v>124</v>
      </c>
      <c r="I682">
        <v>4.7</v>
      </c>
      <c r="J682">
        <v>0</v>
      </c>
      <c r="K682" t="str">
        <f>IF(customer[[#This Row],[IsChurned]]=1,"Churned","Active")</f>
        <v>Active</v>
      </c>
      <c r="L682" t="str">
        <f>TEXT(customer[[#This Row],[SubscriptionDate]],"mmm-yyyy")</f>
        <v>Mar-2023</v>
      </c>
      <c r="M682" s="1">
        <f ca="1">TODAY()-customer[[#This Row],[LastLoginDate]]</f>
        <v>796</v>
      </c>
    </row>
    <row r="683" spans="1:13" x14ac:dyDescent="0.3">
      <c r="A683">
        <v>682</v>
      </c>
      <c r="B683" t="s">
        <v>696</v>
      </c>
      <c r="C683">
        <v>30</v>
      </c>
      <c r="D683" t="s">
        <v>11</v>
      </c>
      <c r="E683" t="s">
        <v>18</v>
      </c>
      <c r="F683" s="1">
        <v>44655</v>
      </c>
      <c r="G683" s="1">
        <v>44799</v>
      </c>
      <c r="H683">
        <v>156</v>
      </c>
      <c r="I683">
        <v>2.9</v>
      </c>
      <c r="J683">
        <v>0</v>
      </c>
      <c r="K683" t="str">
        <f>IF(customer[[#This Row],[IsChurned]]=1,"Churned","Active")</f>
        <v>Active</v>
      </c>
      <c r="L683" t="str">
        <f>TEXT(customer[[#This Row],[SubscriptionDate]],"mmm-yyyy")</f>
        <v>Apr-2022</v>
      </c>
      <c r="M683" s="1">
        <f ca="1">TODAY()-customer[[#This Row],[LastLoginDate]]</f>
        <v>1244</v>
      </c>
    </row>
    <row r="684" spans="1:13" x14ac:dyDescent="0.3">
      <c r="A684">
        <v>683</v>
      </c>
      <c r="B684" t="s">
        <v>697</v>
      </c>
      <c r="C684">
        <v>22</v>
      </c>
      <c r="D684" t="s">
        <v>14</v>
      </c>
      <c r="E684" t="s">
        <v>18</v>
      </c>
      <c r="F684" s="1">
        <v>44920</v>
      </c>
      <c r="G684" s="1">
        <v>44977</v>
      </c>
      <c r="H684">
        <v>257</v>
      </c>
      <c r="I684">
        <v>1.2</v>
      </c>
      <c r="J684">
        <v>1</v>
      </c>
      <c r="K684" t="str">
        <f>IF(customer[[#This Row],[IsChurned]]=1,"Churned","Active")</f>
        <v>Churned</v>
      </c>
      <c r="L684" t="str">
        <f>TEXT(customer[[#This Row],[SubscriptionDate]],"mmm-yyyy")</f>
        <v>Dec-2022</v>
      </c>
      <c r="M684" s="1">
        <f ca="1">TODAY()-customer[[#This Row],[LastLoginDate]]</f>
        <v>1066</v>
      </c>
    </row>
    <row r="685" spans="1:13" x14ac:dyDescent="0.3">
      <c r="A685">
        <v>684</v>
      </c>
      <c r="B685" t="s">
        <v>698</v>
      </c>
      <c r="C685">
        <v>55</v>
      </c>
      <c r="D685" t="s">
        <v>11</v>
      </c>
      <c r="E685" t="s">
        <v>15</v>
      </c>
      <c r="F685" s="1">
        <v>45200</v>
      </c>
      <c r="G685" s="1">
        <v>45448</v>
      </c>
      <c r="H685">
        <v>272</v>
      </c>
      <c r="I685">
        <v>3.9</v>
      </c>
      <c r="J685">
        <v>0</v>
      </c>
      <c r="K685" t="str">
        <f>IF(customer[[#This Row],[IsChurned]]=1,"Churned","Active")</f>
        <v>Active</v>
      </c>
      <c r="L685" t="str">
        <f>TEXT(customer[[#This Row],[SubscriptionDate]],"mmm-yyyy")</f>
        <v>Oct-2023</v>
      </c>
      <c r="M685" s="1">
        <f ca="1">TODAY()-customer[[#This Row],[LastLoginDate]]</f>
        <v>595</v>
      </c>
    </row>
    <row r="686" spans="1:13" x14ac:dyDescent="0.3">
      <c r="A686">
        <v>685</v>
      </c>
      <c r="B686" t="s">
        <v>699</v>
      </c>
      <c r="C686">
        <v>33</v>
      </c>
      <c r="D686" t="s">
        <v>14</v>
      </c>
      <c r="E686" t="s">
        <v>12</v>
      </c>
      <c r="F686" s="1">
        <v>44756</v>
      </c>
      <c r="G686" s="1">
        <v>45090</v>
      </c>
      <c r="H686">
        <v>70</v>
      </c>
      <c r="I686">
        <v>1.3</v>
      </c>
      <c r="J686">
        <v>0</v>
      </c>
      <c r="K686" t="str">
        <f>IF(customer[[#This Row],[IsChurned]]=1,"Churned","Active")</f>
        <v>Active</v>
      </c>
      <c r="L686" t="str">
        <f>TEXT(customer[[#This Row],[SubscriptionDate]],"mmm-yyyy")</f>
        <v>Jul-2022</v>
      </c>
      <c r="M686" s="1">
        <f ca="1">TODAY()-customer[[#This Row],[LastLoginDate]]</f>
        <v>953</v>
      </c>
    </row>
    <row r="687" spans="1:13" x14ac:dyDescent="0.3">
      <c r="A687">
        <v>686</v>
      </c>
      <c r="B687" t="s">
        <v>700</v>
      </c>
      <c r="C687">
        <v>50</v>
      </c>
      <c r="D687" t="s">
        <v>11</v>
      </c>
      <c r="E687" t="s">
        <v>15</v>
      </c>
      <c r="F687" s="1">
        <v>45336</v>
      </c>
      <c r="G687" s="1">
        <v>45528</v>
      </c>
      <c r="H687">
        <v>183</v>
      </c>
      <c r="I687">
        <v>1.1000000000000001</v>
      </c>
      <c r="J687">
        <v>0</v>
      </c>
      <c r="K687" t="str">
        <f>IF(customer[[#This Row],[IsChurned]]=1,"Churned","Active")</f>
        <v>Active</v>
      </c>
      <c r="L687" t="str">
        <f>TEXT(customer[[#This Row],[SubscriptionDate]],"mmm-yyyy")</f>
        <v>Feb-2024</v>
      </c>
      <c r="M687" s="1">
        <f ca="1">TODAY()-customer[[#This Row],[LastLoginDate]]</f>
        <v>515</v>
      </c>
    </row>
    <row r="688" spans="1:13" x14ac:dyDescent="0.3">
      <c r="A688">
        <v>687</v>
      </c>
      <c r="B688" t="s">
        <v>701</v>
      </c>
      <c r="C688">
        <v>26</v>
      </c>
      <c r="D688" t="s">
        <v>11</v>
      </c>
      <c r="E688" t="s">
        <v>12</v>
      </c>
      <c r="F688" s="1">
        <v>44863</v>
      </c>
      <c r="G688" s="1">
        <v>45133</v>
      </c>
      <c r="H688">
        <v>399</v>
      </c>
      <c r="I688">
        <v>2.6</v>
      </c>
      <c r="J688">
        <v>0</v>
      </c>
      <c r="K688" t="str">
        <f>IF(customer[[#This Row],[IsChurned]]=1,"Churned","Active")</f>
        <v>Active</v>
      </c>
      <c r="L688" t="str">
        <f>TEXT(customer[[#This Row],[SubscriptionDate]],"mmm-yyyy")</f>
        <v>Oct-2022</v>
      </c>
      <c r="M688" s="1">
        <f ca="1">TODAY()-customer[[#This Row],[LastLoginDate]]</f>
        <v>910</v>
      </c>
    </row>
    <row r="689" spans="1:13" x14ac:dyDescent="0.3">
      <c r="A689">
        <v>688</v>
      </c>
      <c r="B689" t="s">
        <v>702</v>
      </c>
      <c r="C689">
        <v>20</v>
      </c>
      <c r="D689" t="s">
        <v>11</v>
      </c>
      <c r="E689" t="s">
        <v>18</v>
      </c>
      <c r="F689" s="1">
        <v>44725</v>
      </c>
      <c r="G689" s="1">
        <v>44914</v>
      </c>
      <c r="H689">
        <v>28</v>
      </c>
      <c r="I689">
        <v>4.5</v>
      </c>
      <c r="J689">
        <v>0</v>
      </c>
      <c r="K689" t="str">
        <f>IF(customer[[#This Row],[IsChurned]]=1,"Churned","Active")</f>
        <v>Active</v>
      </c>
      <c r="L689" t="str">
        <f>TEXT(customer[[#This Row],[SubscriptionDate]],"mmm-yyyy")</f>
        <v>Jun-2022</v>
      </c>
      <c r="M689" s="1">
        <f ca="1">TODAY()-customer[[#This Row],[LastLoginDate]]</f>
        <v>1129</v>
      </c>
    </row>
    <row r="690" spans="1:13" x14ac:dyDescent="0.3">
      <c r="A690">
        <v>689</v>
      </c>
      <c r="B690" t="s">
        <v>703</v>
      </c>
      <c r="C690">
        <v>40</v>
      </c>
      <c r="D690" t="s">
        <v>11</v>
      </c>
      <c r="E690" t="s">
        <v>18</v>
      </c>
      <c r="F690" s="1">
        <v>44872</v>
      </c>
      <c r="G690" s="1">
        <v>44940</v>
      </c>
      <c r="H690">
        <v>466</v>
      </c>
      <c r="I690">
        <v>2</v>
      </c>
      <c r="J690">
        <v>0</v>
      </c>
      <c r="K690" t="str">
        <f>IF(customer[[#This Row],[IsChurned]]=1,"Churned","Active")</f>
        <v>Active</v>
      </c>
      <c r="L690" t="str">
        <f>TEXT(customer[[#This Row],[SubscriptionDate]],"mmm-yyyy")</f>
        <v>Nov-2022</v>
      </c>
      <c r="M690" s="1">
        <f ca="1">TODAY()-customer[[#This Row],[LastLoginDate]]</f>
        <v>1103</v>
      </c>
    </row>
    <row r="691" spans="1:13" x14ac:dyDescent="0.3">
      <c r="A691">
        <v>690</v>
      </c>
      <c r="B691" t="s">
        <v>704</v>
      </c>
      <c r="C691">
        <v>30</v>
      </c>
      <c r="D691" t="s">
        <v>14</v>
      </c>
      <c r="E691" t="s">
        <v>18</v>
      </c>
      <c r="F691" s="1">
        <v>44660</v>
      </c>
      <c r="G691" s="1">
        <v>44962</v>
      </c>
      <c r="H691">
        <v>451</v>
      </c>
      <c r="I691">
        <v>2.4</v>
      </c>
      <c r="J691">
        <v>1</v>
      </c>
      <c r="K691" t="str">
        <f>IF(customer[[#This Row],[IsChurned]]=1,"Churned","Active")</f>
        <v>Churned</v>
      </c>
      <c r="L691" t="str">
        <f>TEXT(customer[[#This Row],[SubscriptionDate]],"mmm-yyyy")</f>
        <v>Apr-2022</v>
      </c>
      <c r="M691" s="1">
        <f ca="1">TODAY()-customer[[#This Row],[LastLoginDate]]</f>
        <v>1081</v>
      </c>
    </row>
    <row r="692" spans="1:13" x14ac:dyDescent="0.3">
      <c r="A692">
        <v>691</v>
      </c>
      <c r="B692" t="s">
        <v>705</v>
      </c>
      <c r="C692">
        <v>65</v>
      </c>
      <c r="D692" t="s">
        <v>14</v>
      </c>
      <c r="E692" t="s">
        <v>18</v>
      </c>
      <c r="F692" s="1">
        <v>44591</v>
      </c>
      <c r="G692" s="1">
        <v>44627</v>
      </c>
      <c r="H692">
        <v>372</v>
      </c>
      <c r="I692">
        <v>3.6</v>
      </c>
      <c r="J692">
        <v>1</v>
      </c>
      <c r="K692" t="str">
        <f>IF(customer[[#This Row],[IsChurned]]=1,"Churned","Active")</f>
        <v>Churned</v>
      </c>
      <c r="L692" t="str">
        <f>TEXT(customer[[#This Row],[SubscriptionDate]],"mmm-yyyy")</f>
        <v>Jan-2022</v>
      </c>
      <c r="M692" s="1">
        <f ca="1">TODAY()-customer[[#This Row],[LastLoginDate]]</f>
        <v>1416</v>
      </c>
    </row>
    <row r="693" spans="1:13" x14ac:dyDescent="0.3">
      <c r="A693">
        <v>692</v>
      </c>
      <c r="B693" t="s">
        <v>706</v>
      </c>
      <c r="C693">
        <v>55</v>
      </c>
      <c r="D693" t="s">
        <v>11</v>
      </c>
      <c r="E693" t="s">
        <v>18</v>
      </c>
      <c r="F693" s="1">
        <v>44797</v>
      </c>
      <c r="G693" s="1">
        <v>44981</v>
      </c>
      <c r="H693">
        <v>472</v>
      </c>
      <c r="I693">
        <v>4.0999999999999996</v>
      </c>
      <c r="J693">
        <v>0</v>
      </c>
      <c r="K693" t="str">
        <f>IF(customer[[#This Row],[IsChurned]]=1,"Churned","Active")</f>
        <v>Active</v>
      </c>
      <c r="L693" t="str">
        <f>TEXT(customer[[#This Row],[SubscriptionDate]],"mmm-yyyy")</f>
        <v>Aug-2022</v>
      </c>
      <c r="M693" s="1">
        <f ca="1">TODAY()-customer[[#This Row],[LastLoginDate]]</f>
        <v>1062</v>
      </c>
    </row>
    <row r="694" spans="1:13" x14ac:dyDescent="0.3">
      <c r="A694">
        <v>693</v>
      </c>
      <c r="B694" t="s">
        <v>707</v>
      </c>
      <c r="C694">
        <v>47</v>
      </c>
      <c r="D694" t="s">
        <v>11</v>
      </c>
      <c r="E694" t="s">
        <v>12</v>
      </c>
      <c r="F694" s="1">
        <v>44646</v>
      </c>
      <c r="G694" s="1">
        <v>44909</v>
      </c>
      <c r="H694">
        <v>473</v>
      </c>
      <c r="I694">
        <v>1.7</v>
      </c>
      <c r="J694">
        <v>1</v>
      </c>
      <c r="K694" t="str">
        <f>IF(customer[[#This Row],[IsChurned]]=1,"Churned","Active")</f>
        <v>Churned</v>
      </c>
      <c r="L694" t="str">
        <f>TEXT(customer[[#This Row],[SubscriptionDate]],"mmm-yyyy")</f>
        <v>Mar-2022</v>
      </c>
      <c r="M694" s="1">
        <f ca="1">TODAY()-customer[[#This Row],[LastLoginDate]]</f>
        <v>1134</v>
      </c>
    </row>
    <row r="695" spans="1:13" x14ac:dyDescent="0.3">
      <c r="A695">
        <v>694</v>
      </c>
      <c r="B695" t="s">
        <v>708</v>
      </c>
      <c r="C695">
        <v>19</v>
      </c>
      <c r="D695" t="s">
        <v>14</v>
      </c>
      <c r="E695" t="s">
        <v>15</v>
      </c>
      <c r="F695" s="1">
        <v>45282</v>
      </c>
      <c r="G695" s="1">
        <v>45430</v>
      </c>
      <c r="H695">
        <v>366</v>
      </c>
      <c r="I695">
        <v>1.2</v>
      </c>
      <c r="J695">
        <v>0</v>
      </c>
      <c r="K695" t="str">
        <f>IF(customer[[#This Row],[IsChurned]]=1,"Churned","Active")</f>
        <v>Active</v>
      </c>
      <c r="L695" t="str">
        <f>TEXT(customer[[#This Row],[SubscriptionDate]],"mmm-yyyy")</f>
        <v>Dec-2023</v>
      </c>
      <c r="M695" s="1">
        <f ca="1">TODAY()-customer[[#This Row],[LastLoginDate]]</f>
        <v>613</v>
      </c>
    </row>
    <row r="696" spans="1:13" x14ac:dyDescent="0.3">
      <c r="A696">
        <v>695</v>
      </c>
      <c r="B696" t="s">
        <v>709</v>
      </c>
      <c r="C696">
        <v>64</v>
      </c>
      <c r="D696" t="s">
        <v>14</v>
      </c>
      <c r="E696" t="s">
        <v>12</v>
      </c>
      <c r="F696" s="1">
        <v>44819</v>
      </c>
      <c r="G696" s="1">
        <v>44923</v>
      </c>
      <c r="H696">
        <v>339</v>
      </c>
      <c r="I696">
        <v>1.4</v>
      </c>
      <c r="J696">
        <v>0</v>
      </c>
      <c r="K696" t="str">
        <f>IF(customer[[#This Row],[IsChurned]]=1,"Churned","Active")</f>
        <v>Active</v>
      </c>
      <c r="L696" t="str">
        <f>TEXT(customer[[#This Row],[SubscriptionDate]],"mmm-yyyy")</f>
        <v>Sep-2022</v>
      </c>
      <c r="M696" s="1">
        <f ca="1">TODAY()-customer[[#This Row],[LastLoginDate]]</f>
        <v>1120</v>
      </c>
    </row>
    <row r="697" spans="1:13" x14ac:dyDescent="0.3">
      <c r="A697">
        <v>696</v>
      </c>
      <c r="B697" t="s">
        <v>710</v>
      </c>
      <c r="C697">
        <v>62</v>
      </c>
      <c r="D697" t="s">
        <v>11</v>
      </c>
      <c r="E697" t="s">
        <v>15</v>
      </c>
      <c r="F697" s="1">
        <v>44755</v>
      </c>
      <c r="G697" s="1">
        <v>44887</v>
      </c>
      <c r="H697">
        <v>239</v>
      </c>
      <c r="I697">
        <v>3.7</v>
      </c>
      <c r="J697">
        <v>1</v>
      </c>
      <c r="K697" t="str">
        <f>IF(customer[[#This Row],[IsChurned]]=1,"Churned","Active")</f>
        <v>Churned</v>
      </c>
      <c r="L697" t="str">
        <f>TEXT(customer[[#This Row],[SubscriptionDate]],"mmm-yyyy")</f>
        <v>Jul-2022</v>
      </c>
      <c r="M697" s="1">
        <f ca="1">TODAY()-customer[[#This Row],[LastLoginDate]]</f>
        <v>1156</v>
      </c>
    </row>
    <row r="698" spans="1:13" x14ac:dyDescent="0.3">
      <c r="A698">
        <v>697</v>
      </c>
      <c r="B698" t="s">
        <v>711</v>
      </c>
      <c r="C698">
        <v>21</v>
      </c>
      <c r="D698" t="s">
        <v>14</v>
      </c>
      <c r="E698" t="s">
        <v>15</v>
      </c>
      <c r="F698" s="1">
        <v>44883</v>
      </c>
      <c r="G698" s="1">
        <v>44915</v>
      </c>
      <c r="H698">
        <v>242</v>
      </c>
      <c r="I698">
        <v>4.2</v>
      </c>
      <c r="J698">
        <v>0</v>
      </c>
      <c r="K698" t="str">
        <f>IF(customer[[#This Row],[IsChurned]]=1,"Churned","Active")</f>
        <v>Active</v>
      </c>
      <c r="L698" t="str">
        <f>TEXT(customer[[#This Row],[SubscriptionDate]],"mmm-yyyy")</f>
        <v>Nov-2022</v>
      </c>
      <c r="M698" s="1">
        <f ca="1">TODAY()-customer[[#This Row],[LastLoginDate]]</f>
        <v>1128</v>
      </c>
    </row>
    <row r="699" spans="1:13" x14ac:dyDescent="0.3">
      <c r="A699">
        <v>698</v>
      </c>
      <c r="B699" t="s">
        <v>712</v>
      </c>
      <c r="C699">
        <v>40</v>
      </c>
      <c r="D699" t="s">
        <v>14</v>
      </c>
      <c r="E699" t="s">
        <v>12</v>
      </c>
      <c r="F699" s="1">
        <v>44594</v>
      </c>
      <c r="G699" s="1">
        <v>44911</v>
      </c>
      <c r="H699">
        <v>92</v>
      </c>
      <c r="I699">
        <v>3.8</v>
      </c>
      <c r="J699">
        <v>1</v>
      </c>
      <c r="K699" t="str">
        <f>IF(customer[[#This Row],[IsChurned]]=1,"Churned","Active")</f>
        <v>Churned</v>
      </c>
      <c r="L699" t="str">
        <f>TEXT(customer[[#This Row],[SubscriptionDate]],"mmm-yyyy")</f>
        <v>Feb-2022</v>
      </c>
      <c r="M699" s="1">
        <f ca="1">TODAY()-customer[[#This Row],[LastLoginDate]]</f>
        <v>1132</v>
      </c>
    </row>
    <row r="700" spans="1:13" x14ac:dyDescent="0.3">
      <c r="A700">
        <v>699</v>
      </c>
      <c r="B700" t="s">
        <v>713</v>
      </c>
      <c r="C700">
        <v>34</v>
      </c>
      <c r="D700" t="s">
        <v>11</v>
      </c>
      <c r="E700" t="s">
        <v>18</v>
      </c>
      <c r="F700" s="1">
        <v>44972</v>
      </c>
      <c r="G700" s="1">
        <v>45266</v>
      </c>
      <c r="H700">
        <v>141</v>
      </c>
      <c r="I700">
        <v>4.5999999999999996</v>
      </c>
      <c r="J700">
        <v>1</v>
      </c>
      <c r="K700" t="str">
        <f>IF(customer[[#This Row],[IsChurned]]=1,"Churned","Active")</f>
        <v>Churned</v>
      </c>
      <c r="L700" t="str">
        <f>TEXT(customer[[#This Row],[SubscriptionDate]],"mmm-yyyy")</f>
        <v>Feb-2023</v>
      </c>
      <c r="M700" s="1">
        <f ca="1">TODAY()-customer[[#This Row],[LastLoginDate]]</f>
        <v>777</v>
      </c>
    </row>
    <row r="701" spans="1:13" x14ac:dyDescent="0.3">
      <c r="A701">
        <v>700</v>
      </c>
      <c r="B701" t="s">
        <v>714</v>
      </c>
      <c r="C701">
        <v>65</v>
      </c>
      <c r="D701" t="s">
        <v>11</v>
      </c>
      <c r="E701" t="s">
        <v>12</v>
      </c>
      <c r="F701" s="1">
        <v>45315</v>
      </c>
      <c r="G701" s="1">
        <v>45487</v>
      </c>
      <c r="H701">
        <v>375</v>
      </c>
      <c r="I701">
        <v>3.3</v>
      </c>
      <c r="J701">
        <v>0</v>
      </c>
      <c r="K701" t="str">
        <f>IF(customer[[#This Row],[IsChurned]]=1,"Churned","Active")</f>
        <v>Active</v>
      </c>
      <c r="L701" t="str">
        <f>TEXT(customer[[#This Row],[SubscriptionDate]],"mmm-yyyy")</f>
        <v>Jan-2024</v>
      </c>
      <c r="M701" s="1">
        <f ca="1">TODAY()-customer[[#This Row],[LastLoginDate]]</f>
        <v>556</v>
      </c>
    </row>
    <row r="702" spans="1:13" x14ac:dyDescent="0.3">
      <c r="A702">
        <v>701</v>
      </c>
      <c r="B702" t="s">
        <v>715</v>
      </c>
      <c r="C702">
        <v>53</v>
      </c>
      <c r="D702" t="s">
        <v>14</v>
      </c>
      <c r="E702" t="s">
        <v>12</v>
      </c>
      <c r="F702" s="1">
        <v>45248</v>
      </c>
      <c r="G702" s="1">
        <v>45283</v>
      </c>
      <c r="H702">
        <v>88</v>
      </c>
      <c r="I702">
        <v>2.7</v>
      </c>
      <c r="J702">
        <v>1</v>
      </c>
      <c r="K702" t="str">
        <f>IF(customer[[#This Row],[IsChurned]]=1,"Churned","Active")</f>
        <v>Churned</v>
      </c>
      <c r="L702" t="str">
        <f>TEXT(customer[[#This Row],[SubscriptionDate]],"mmm-yyyy")</f>
        <v>Nov-2023</v>
      </c>
      <c r="M702" s="1">
        <f ca="1">TODAY()-customer[[#This Row],[LastLoginDate]]</f>
        <v>760</v>
      </c>
    </row>
    <row r="703" spans="1:13" x14ac:dyDescent="0.3">
      <c r="A703">
        <v>702</v>
      </c>
      <c r="B703" t="s">
        <v>716</v>
      </c>
      <c r="C703">
        <v>59</v>
      </c>
      <c r="D703" t="s">
        <v>14</v>
      </c>
      <c r="E703" t="s">
        <v>15</v>
      </c>
      <c r="F703" s="1">
        <v>45083</v>
      </c>
      <c r="G703" s="1">
        <v>45212</v>
      </c>
      <c r="H703">
        <v>414</v>
      </c>
      <c r="I703">
        <v>2.6</v>
      </c>
      <c r="J703">
        <v>0</v>
      </c>
      <c r="K703" t="str">
        <f>IF(customer[[#This Row],[IsChurned]]=1,"Churned","Active")</f>
        <v>Active</v>
      </c>
      <c r="L703" t="str">
        <f>TEXT(customer[[#This Row],[SubscriptionDate]],"mmm-yyyy")</f>
        <v>Jun-2023</v>
      </c>
      <c r="M703" s="1">
        <f ca="1">TODAY()-customer[[#This Row],[LastLoginDate]]</f>
        <v>831</v>
      </c>
    </row>
    <row r="704" spans="1:13" x14ac:dyDescent="0.3">
      <c r="A704">
        <v>703</v>
      </c>
      <c r="B704" t="s">
        <v>717</v>
      </c>
      <c r="C704">
        <v>60</v>
      </c>
      <c r="D704" t="s">
        <v>14</v>
      </c>
      <c r="E704" t="s">
        <v>18</v>
      </c>
      <c r="F704" s="1">
        <v>45312</v>
      </c>
      <c r="G704" s="1">
        <v>45447</v>
      </c>
      <c r="H704">
        <v>18</v>
      </c>
      <c r="I704">
        <v>1.6</v>
      </c>
      <c r="J704">
        <v>0</v>
      </c>
      <c r="K704" t="str">
        <f>IF(customer[[#This Row],[IsChurned]]=1,"Churned","Active")</f>
        <v>Active</v>
      </c>
      <c r="L704" t="str">
        <f>TEXT(customer[[#This Row],[SubscriptionDate]],"mmm-yyyy")</f>
        <v>Jan-2024</v>
      </c>
      <c r="M704" s="1">
        <f ca="1">TODAY()-customer[[#This Row],[LastLoginDate]]</f>
        <v>596</v>
      </c>
    </row>
    <row r="705" spans="1:13" x14ac:dyDescent="0.3">
      <c r="A705">
        <v>704</v>
      </c>
      <c r="B705" t="s">
        <v>718</v>
      </c>
      <c r="C705">
        <v>58</v>
      </c>
      <c r="D705" t="s">
        <v>14</v>
      </c>
      <c r="E705" t="s">
        <v>12</v>
      </c>
      <c r="F705" s="1">
        <v>45418</v>
      </c>
      <c r="G705" s="1">
        <v>45675</v>
      </c>
      <c r="H705">
        <v>206</v>
      </c>
      <c r="I705">
        <v>1.7</v>
      </c>
      <c r="J705">
        <v>1</v>
      </c>
      <c r="K705" t="str">
        <f>IF(customer[[#This Row],[IsChurned]]=1,"Churned","Active")</f>
        <v>Churned</v>
      </c>
      <c r="L705" t="str">
        <f>TEXT(customer[[#This Row],[SubscriptionDate]],"mmm-yyyy")</f>
        <v>May-2024</v>
      </c>
      <c r="M705" s="1">
        <f ca="1">TODAY()-customer[[#This Row],[LastLoginDate]]</f>
        <v>368</v>
      </c>
    </row>
    <row r="706" spans="1:13" x14ac:dyDescent="0.3">
      <c r="A706">
        <v>705</v>
      </c>
      <c r="B706" t="s">
        <v>719</v>
      </c>
      <c r="C706">
        <v>38</v>
      </c>
      <c r="D706" t="s">
        <v>14</v>
      </c>
      <c r="E706" t="s">
        <v>12</v>
      </c>
      <c r="F706" s="1">
        <v>45084</v>
      </c>
      <c r="G706" s="1">
        <v>45328</v>
      </c>
      <c r="H706">
        <v>278</v>
      </c>
      <c r="I706">
        <v>2.9</v>
      </c>
      <c r="J706">
        <v>1</v>
      </c>
      <c r="K706" t="str">
        <f>IF(customer[[#This Row],[IsChurned]]=1,"Churned","Active")</f>
        <v>Churned</v>
      </c>
      <c r="L706" t="str">
        <f>TEXT(customer[[#This Row],[SubscriptionDate]],"mmm-yyyy")</f>
        <v>Jun-2023</v>
      </c>
      <c r="M706" s="1">
        <f ca="1">TODAY()-customer[[#This Row],[LastLoginDate]]</f>
        <v>715</v>
      </c>
    </row>
    <row r="707" spans="1:13" x14ac:dyDescent="0.3">
      <c r="A707">
        <v>706</v>
      </c>
      <c r="B707" t="s">
        <v>720</v>
      </c>
      <c r="C707">
        <v>35</v>
      </c>
      <c r="D707" t="s">
        <v>14</v>
      </c>
      <c r="E707" t="s">
        <v>12</v>
      </c>
      <c r="F707" s="1">
        <v>45146</v>
      </c>
      <c r="G707" s="1">
        <v>45316</v>
      </c>
      <c r="H707">
        <v>473</v>
      </c>
      <c r="I707">
        <v>4.8</v>
      </c>
      <c r="J707">
        <v>0</v>
      </c>
      <c r="K707" t="str">
        <f>IF(customer[[#This Row],[IsChurned]]=1,"Churned","Active")</f>
        <v>Active</v>
      </c>
      <c r="L707" t="str">
        <f>TEXT(customer[[#This Row],[SubscriptionDate]],"mmm-yyyy")</f>
        <v>Aug-2023</v>
      </c>
      <c r="M707" s="1">
        <f ca="1">TODAY()-customer[[#This Row],[LastLoginDate]]</f>
        <v>727</v>
      </c>
    </row>
    <row r="708" spans="1:13" x14ac:dyDescent="0.3">
      <c r="A708">
        <v>707</v>
      </c>
      <c r="B708" t="s">
        <v>721</v>
      </c>
      <c r="C708">
        <v>33</v>
      </c>
      <c r="D708" t="s">
        <v>11</v>
      </c>
      <c r="E708" t="s">
        <v>15</v>
      </c>
      <c r="F708" s="1">
        <v>44686</v>
      </c>
      <c r="G708" s="1">
        <v>44763</v>
      </c>
      <c r="H708">
        <v>99</v>
      </c>
      <c r="I708">
        <v>2</v>
      </c>
      <c r="J708">
        <v>0</v>
      </c>
      <c r="K708" t="str">
        <f>IF(customer[[#This Row],[IsChurned]]=1,"Churned","Active")</f>
        <v>Active</v>
      </c>
      <c r="L708" t="str">
        <f>TEXT(customer[[#This Row],[SubscriptionDate]],"mmm-yyyy")</f>
        <v>May-2022</v>
      </c>
      <c r="M708" s="1">
        <f ca="1">TODAY()-customer[[#This Row],[LastLoginDate]]</f>
        <v>1280</v>
      </c>
    </row>
    <row r="709" spans="1:13" x14ac:dyDescent="0.3">
      <c r="A709">
        <v>708</v>
      </c>
      <c r="B709" t="s">
        <v>722</v>
      </c>
      <c r="C709">
        <v>41</v>
      </c>
      <c r="D709" t="s">
        <v>14</v>
      </c>
      <c r="E709" t="s">
        <v>18</v>
      </c>
      <c r="F709" s="1">
        <v>44728</v>
      </c>
      <c r="G709" s="1">
        <v>45080</v>
      </c>
      <c r="H709">
        <v>86</v>
      </c>
      <c r="I709">
        <v>2.2999999999999998</v>
      </c>
      <c r="J709">
        <v>0</v>
      </c>
      <c r="K709" t="str">
        <f>IF(customer[[#This Row],[IsChurned]]=1,"Churned","Active")</f>
        <v>Active</v>
      </c>
      <c r="L709" t="str">
        <f>TEXT(customer[[#This Row],[SubscriptionDate]],"mmm-yyyy")</f>
        <v>Jun-2022</v>
      </c>
      <c r="M709" s="1">
        <f ca="1">TODAY()-customer[[#This Row],[LastLoginDate]]</f>
        <v>963</v>
      </c>
    </row>
    <row r="710" spans="1:13" x14ac:dyDescent="0.3">
      <c r="A710">
        <v>709</v>
      </c>
      <c r="B710" t="s">
        <v>723</v>
      </c>
      <c r="C710">
        <v>39</v>
      </c>
      <c r="D710" t="s">
        <v>11</v>
      </c>
      <c r="E710" t="s">
        <v>18</v>
      </c>
      <c r="F710" s="1">
        <v>45064</v>
      </c>
      <c r="G710" s="1">
        <v>45348</v>
      </c>
      <c r="H710">
        <v>149</v>
      </c>
      <c r="I710">
        <v>3.6</v>
      </c>
      <c r="J710">
        <v>1</v>
      </c>
      <c r="K710" t="str">
        <f>IF(customer[[#This Row],[IsChurned]]=1,"Churned","Active")</f>
        <v>Churned</v>
      </c>
      <c r="L710" t="str">
        <f>TEXT(customer[[#This Row],[SubscriptionDate]],"mmm-yyyy")</f>
        <v>May-2023</v>
      </c>
      <c r="M710" s="1">
        <f ca="1">TODAY()-customer[[#This Row],[LastLoginDate]]</f>
        <v>695</v>
      </c>
    </row>
    <row r="711" spans="1:13" x14ac:dyDescent="0.3">
      <c r="A711">
        <v>710</v>
      </c>
      <c r="B711" t="s">
        <v>724</v>
      </c>
      <c r="C711">
        <v>53</v>
      </c>
      <c r="D711" t="s">
        <v>11</v>
      </c>
      <c r="E711" t="s">
        <v>12</v>
      </c>
      <c r="F711" s="1">
        <v>45350</v>
      </c>
      <c r="G711" s="1">
        <v>45677</v>
      </c>
      <c r="H711">
        <v>412</v>
      </c>
      <c r="I711">
        <v>2.2999999999999998</v>
      </c>
      <c r="J711">
        <v>0</v>
      </c>
      <c r="K711" t="str">
        <f>IF(customer[[#This Row],[IsChurned]]=1,"Churned","Active")</f>
        <v>Active</v>
      </c>
      <c r="L711" t="str">
        <f>TEXT(customer[[#This Row],[SubscriptionDate]],"mmm-yyyy")</f>
        <v>Feb-2024</v>
      </c>
      <c r="M711" s="1">
        <f ca="1">TODAY()-customer[[#This Row],[LastLoginDate]]</f>
        <v>366</v>
      </c>
    </row>
    <row r="712" spans="1:13" x14ac:dyDescent="0.3">
      <c r="A712">
        <v>711</v>
      </c>
      <c r="B712" t="s">
        <v>725</v>
      </c>
      <c r="C712">
        <v>50</v>
      </c>
      <c r="D712" t="s">
        <v>11</v>
      </c>
      <c r="E712" t="s">
        <v>12</v>
      </c>
      <c r="F712" s="1">
        <v>44666</v>
      </c>
      <c r="G712" s="1">
        <v>44766</v>
      </c>
      <c r="H712">
        <v>446</v>
      </c>
      <c r="I712">
        <v>3</v>
      </c>
      <c r="J712">
        <v>0</v>
      </c>
      <c r="K712" t="str">
        <f>IF(customer[[#This Row],[IsChurned]]=1,"Churned","Active")</f>
        <v>Active</v>
      </c>
      <c r="L712" t="str">
        <f>TEXT(customer[[#This Row],[SubscriptionDate]],"mmm-yyyy")</f>
        <v>Apr-2022</v>
      </c>
      <c r="M712" s="1">
        <f ca="1">TODAY()-customer[[#This Row],[LastLoginDate]]</f>
        <v>1277</v>
      </c>
    </row>
    <row r="713" spans="1:13" x14ac:dyDescent="0.3">
      <c r="A713">
        <v>712</v>
      </c>
      <c r="B713" t="s">
        <v>726</v>
      </c>
      <c r="C713">
        <v>51</v>
      </c>
      <c r="D713" t="s">
        <v>11</v>
      </c>
      <c r="E713" t="s">
        <v>18</v>
      </c>
      <c r="F713" s="1">
        <v>45185</v>
      </c>
      <c r="G713" s="1">
        <v>45379</v>
      </c>
      <c r="H713">
        <v>442</v>
      </c>
      <c r="I713">
        <v>1.1000000000000001</v>
      </c>
      <c r="J713">
        <v>0</v>
      </c>
      <c r="K713" t="str">
        <f>IF(customer[[#This Row],[IsChurned]]=1,"Churned","Active")</f>
        <v>Active</v>
      </c>
      <c r="L713" t="str">
        <f>TEXT(customer[[#This Row],[SubscriptionDate]],"mmm-yyyy")</f>
        <v>Sep-2023</v>
      </c>
      <c r="M713" s="1">
        <f ca="1">TODAY()-customer[[#This Row],[LastLoginDate]]</f>
        <v>664</v>
      </c>
    </row>
    <row r="714" spans="1:13" x14ac:dyDescent="0.3">
      <c r="A714">
        <v>713</v>
      </c>
      <c r="B714" t="s">
        <v>727</v>
      </c>
      <c r="C714">
        <v>59</v>
      </c>
      <c r="D714" t="s">
        <v>14</v>
      </c>
      <c r="E714" t="s">
        <v>15</v>
      </c>
      <c r="F714" s="1">
        <v>45277</v>
      </c>
      <c r="G714" s="1">
        <v>45638</v>
      </c>
      <c r="H714">
        <v>457</v>
      </c>
      <c r="I714">
        <v>1.6</v>
      </c>
      <c r="J714">
        <v>0</v>
      </c>
      <c r="K714" t="str">
        <f>IF(customer[[#This Row],[IsChurned]]=1,"Churned","Active")</f>
        <v>Active</v>
      </c>
      <c r="L714" t="str">
        <f>TEXT(customer[[#This Row],[SubscriptionDate]],"mmm-yyyy")</f>
        <v>Dec-2023</v>
      </c>
      <c r="M714" s="1">
        <f ca="1">TODAY()-customer[[#This Row],[LastLoginDate]]</f>
        <v>405</v>
      </c>
    </row>
    <row r="715" spans="1:13" x14ac:dyDescent="0.3">
      <c r="A715">
        <v>714</v>
      </c>
      <c r="B715" t="s">
        <v>728</v>
      </c>
      <c r="C715">
        <v>64</v>
      </c>
      <c r="D715" t="s">
        <v>11</v>
      </c>
      <c r="E715" t="s">
        <v>12</v>
      </c>
      <c r="F715" s="1">
        <v>45412</v>
      </c>
      <c r="G715" s="1">
        <v>45571</v>
      </c>
      <c r="H715">
        <v>274</v>
      </c>
      <c r="I715">
        <v>3.1</v>
      </c>
      <c r="J715">
        <v>0</v>
      </c>
      <c r="K715" t="str">
        <f>IF(customer[[#This Row],[IsChurned]]=1,"Churned","Active")</f>
        <v>Active</v>
      </c>
      <c r="L715" t="str">
        <f>TEXT(customer[[#This Row],[SubscriptionDate]],"mmm-yyyy")</f>
        <v>Apr-2024</v>
      </c>
      <c r="M715" s="1">
        <f ca="1">TODAY()-customer[[#This Row],[LastLoginDate]]</f>
        <v>472</v>
      </c>
    </row>
    <row r="716" spans="1:13" x14ac:dyDescent="0.3">
      <c r="A716">
        <v>715</v>
      </c>
      <c r="B716" t="s">
        <v>729</v>
      </c>
      <c r="C716">
        <v>33</v>
      </c>
      <c r="D716" t="s">
        <v>14</v>
      </c>
      <c r="E716" t="s">
        <v>12</v>
      </c>
      <c r="F716" s="1">
        <v>45219</v>
      </c>
      <c r="G716" s="1">
        <v>45376</v>
      </c>
      <c r="H716">
        <v>123</v>
      </c>
      <c r="I716">
        <v>4.4000000000000004</v>
      </c>
      <c r="J716">
        <v>1</v>
      </c>
      <c r="K716" t="str">
        <f>IF(customer[[#This Row],[IsChurned]]=1,"Churned","Active")</f>
        <v>Churned</v>
      </c>
      <c r="L716" t="str">
        <f>TEXT(customer[[#This Row],[SubscriptionDate]],"mmm-yyyy")</f>
        <v>Oct-2023</v>
      </c>
      <c r="M716" s="1">
        <f ca="1">TODAY()-customer[[#This Row],[LastLoginDate]]</f>
        <v>667</v>
      </c>
    </row>
    <row r="717" spans="1:13" x14ac:dyDescent="0.3">
      <c r="A717">
        <v>716</v>
      </c>
      <c r="B717" t="s">
        <v>730</v>
      </c>
      <c r="C717">
        <v>39</v>
      </c>
      <c r="D717" t="s">
        <v>11</v>
      </c>
      <c r="E717" t="s">
        <v>18</v>
      </c>
      <c r="F717" s="1">
        <v>45194</v>
      </c>
      <c r="G717" s="1">
        <v>45223</v>
      </c>
      <c r="H717">
        <v>108</v>
      </c>
      <c r="I717">
        <v>2.5</v>
      </c>
      <c r="J717">
        <v>0</v>
      </c>
      <c r="K717" t="str">
        <f>IF(customer[[#This Row],[IsChurned]]=1,"Churned","Active")</f>
        <v>Active</v>
      </c>
      <c r="L717" t="str">
        <f>TEXT(customer[[#This Row],[SubscriptionDate]],"mmm-yyyy")</f>
        <v>Sep-2023</v>
      </c>
      <c r="M717" s="1">
        <f ca="1">TODAY()-customer[[#This Row],[LastLoginDate]]</f>
        <v>820</v>
      </c>
    </row>
    <row r="718" spans="1:13" x14ac:dyDescent="0.3">
      <c r="A718">
        <v>717</v>
      </c>
      <c r="B718" t="s">
        <v>731</v>
      </c>
      <c r="C718">
        <v>21</v>
      </c>
      <c r="D718" t="s">
        <v>11</v>
      </c>
      <c r="E718" t="s">
        <v>12</v>
      </c>
      <c r="F718" s="1">
        <v>44945</v>
      </c>
      <c r="G718" s="1">
        <v>44968</v>
      </c>
      <c r="H718">
        <v>46</v>
      </c>
      <c r="I718">
        <v>4.7</v>
      </c>
      <c r="J718">
        <v>0</v>
      </c>
      <c r="K718" t="str">
        <f>IF(customer[[#This Row],[IsChurned]]=1,"Churned","Active")</f>
        <v>Active</v>
      </c>
      <c r="L718" t="str">
        <f>TEXT(customer[[#This Row],[SubscriptionDate]],"mmm-yyyy")</f>
        <v>Jan-2023</v>
      </c>
      <c r="M718" s="1">
        <f ca="1">TODAY()-customer[[#This Row],[LastLoginDate]]</f>
        <v>1075</v>
      </c>
    </row>
    <row r="719" spans="1:13" x14ac:dyDescent="0.3">
      <c r="A719">
        <v>718</v>
      </c>
      <c r="B719" t="s">
        <v>732</v>
      </c>
      <c r="C719">
        <v>22</v>
      </c>
      <c r="D719" t="s">
        <v>11</v>
      </c>
      <c r="E719" t="s">
        <v>18</v>
      </c>
      <c r="F719" s="1">
        <v>45330</v>
      </c>
      <c r="G719" s="1">
        <v>45514</v>
      </c>
      <c r="H719">
        <v>367</v>
      </c>
      <c r="I719">
        <v>3.2</v>
      </c>
      <c r="J719">
        <v>1</v>
      </c>
      <c r="K719" t="str">
        <f>IF(customer[[#This Row],[IsChurned]]=1,"Churned","Active")</f>
        <v>Churned</v>
      </c>
      <c r="L719" t="str">
        <f>TEXT(customer[[#This Row],[SubscriptionDate]],"mmm-yyyy")</f>
        <v>Feb-2024</v>
      </c>
      <c r="M719" s="1">
        <f ca="1">TODAY()-customer[[#This Row],[LastLoginDate]]</f>
        <v>529</v>
      </c>
    </row>
    <row r="720" spans="1:13" x14ac:dyDescent="0.3">
      <c r="A720">
        <v>719</v>
      </c>
      <c r="B720" t="s">
        <v>733</v>
      </c>
      <c r="C720">
        <v>40</v>
      </c>
      <c r="D720" t="s">
        <v>14</v>
      </c>
      <c r="E720" t="s">
        <v>12</v>
      </c>
      <c r="F720" s="1">
        <v>44620</v>
      </c>
      <c r="G720" s="1">
        <v>44906</v>
      </c>
      <c r="H720">
        <v>252</v>
      </c>
      <c r="I720">
        <v>1.8</v>
      </c>
      <c r="J720">
        <v>0</v>
      </c>
      <c r="K720" t="str">
        <f>IF(customer[[#This Row],[IsChurned]]=1,"Churned","Active")</f>
        <v>Active</v>
      </c>
      <c r="L720" t="str">
        <f>TEXT(customer[[#This Row],[SubscriptionDate]],"mmm-yyyy")</f>
        <v>Feb-2022</v>
      </c>
      <c r="M720" s="1">
        <f ca="1">TODAY()-customer[[#This Row],[LastLoginDate]]</f>
        <v>1137</v>
      </c>
    </row>
    <row r="721" spans="1:13" x14ac:dyDescent="0.3">
      <c r="A721">
        <v>720</v>
      </c>
      <c r="B721" t="s">
        <v>734</v>
      </c>
      <c r="C721">
        <v>48</v>
      </c>
      <c r="D721" t="s">
        <v>11</v>
      </c>
      <c r="E721" t="s">
        <v>15</v>
      </c>
      <c r="F721" s="1">
        <v>45118</v>
      </c>
      <c r="G721" s="1">
        <v>45357</v>
      </c>
      <c r="H721">
        <v>243</v>
      </c>
      <c r="I721">
        <v>3.6</v>
      </c>
      <c r="J721">
        <v>0</v>
      </c>
      <c r="K721" t="str">
        <f>IF(customer[[#This Row],[IsChurned]]=1,"Churned","Active")</f>
        <v>Active</v>
      </c>
      <c r="L721" t="str">
        <f>TEXT(customer[[#This Row],[SubscriptionDate]],"mmm-yyyy")</f>
        <v>Jul-2023</v>
      </c>
      <c r="M721" s="1">
        <f ca="1">TODAY()-customer[[#This Row],[LastLoginDate]]</f>
        <v>686</v>
      </c>
    </row>
    <row r="722" spans="1:13" x14ac:dyDescent="0.3">
      <c r="A722">
        <v>721</v>
      </c>
      <c r="B722" t="s">
        <v>735</v>
      </c>
      <c r="C722">
        <v>46</v>
      </c>
      <c r="D722" t="s">
        <v>11</v>
      </c>
      <c r="E722" t="s">
        <v>15</v>
      </c>
      <c r="F722" s="1">
        <v>45077</v>
      </c>
      <c r="G722" s="1">
        <v>45260</v>
      </c>
      <c r="H722">
        <v>65</v>
      </c>
      <c r="I722">
        <v>1.2</v>
      </c>
      <c r="J722">
        <v>1</v>
      </c>
      <c r="K722" t="str">
        <f>IF(customer[[#This Row],[IsChurned]]=1,"Churned","Active")</f>
        <v>Churned</v>
      </c>
      <c r="L722" t="str">
        <f>TEXT(customer[[#This Row],[SubscriptionDate]],"mmm-yyyy")</f>
        <v>May-2023</v>
      </c>
      <c r="M722" s="1">
        <f ca="1">TODAY()-customer[[#This Row],[LastLoginDate]]</f>
        <v>783</v>
      </c>
    </row>
    <row r="723" spans="1:13" x14ac:dyDescent="0.3">
      <c r="A723">
        <v>722</v>
      </c>
      <c r="B723" t="s">
        <v>736</v>
      </c>
      <c r="C723">
        <v>59</v>
      </c>
      <c r="D723" t="s">
        <v>14</v>
      </c>
      <c r="E723" t="s">
        <v>15</v>
      </c>
      <c r="F723" s="1">
        <v>45418</v>
      </c>
      <c r="G723" s="1">
        <v>45671</v>
      </c>
      <c r="H723">
        <v>147</v>
      </c>
      <c r="I723">
        <v>3</v>
      </c>
      <c r="J723">
        <v>1</v>
      </c>
      <c r="K723" t="str">
        <f>IF(customer[[#This Row],[IsChurned]]=1,"Churned","Active")</f>
        <v>Churned</v>
      </c>
      <c r="L723" t="str">
        <f>TEXT(customer[[#This Row],[SubscriptionDate]],"mmm-yyyy")</f>
        <v>May-2024</v>
      </c>
      <c r="M723" s="1">
        <f ca="1">TODAY()-customer[[#This Row],[LastLoginDate]]</f>
        <v>372</v>
      </c>
    </row>
    <row r="724" spans="1:13" x14ac:dyDescent="0.3">
      <c r="A724">
        <v>723</v>
      </c>
      <c r="B724" t="s">
        <v>737</v>
      </c>
      <c r="C724">
        <v>63</v>
      </c>
      <c r="D724" t="s">
        <v>14</v>
      </c>
      <c r="E724" t="s">
        <v>12</v>
      </c>
      <c r="F724" s="1">
        <v>44657</v>
      </c>
      <c r="G724" s="1">
        <v>44733</v>
      </c>
      <c r="H724">
        <v>164</v>
      </c>
      <c r="I724">
        <v>4.3</v>
      </c>
      <c r="J724">
        <v>1</v>
      </c>
      <c r="K724" t="str">
        <f>IF(customer[[#This Row],[IsChurned]]=1,"Churned","Active")</f>
        <v>Churned</v>
      </c>
      <c r="L724" t="str">
        <f>TEXT(customer[[#This Row],[SubscriptionDate]],"mmm-yyyy")</f>
        <v>Apr-2022</v>
      </c>
      <c r="M724" s="1">
        <f ca="1">TODAY()-customer[[#This Row],[LastLoginDate]]</f>
        <v>1310</v>
      </c>
    </row>
    <row r="725" spans="1:13" x14ac:dyDescent="0.3">
      <c r="A725">
        <v>724</v>
      </c>
      <c r="B725" t="s">
        <v>738</v>
      </c>
      <c r="C725">
        <v>55</v>
      </c>
      <c r="D725" t="s">
        <v>11</v>
      </c>
      <c r="E725" t="s">
        <v>12</v>
      </c>
      <c r="F725" s="1">
        <v>45048</v>
      </c>
      <c r="G725" s="1">
        <v>45226</v>
      </c>
      <c r="H725">
        <v>419</v>
      </c>
      <c r="I725">
        <v>4.5999999999999996</v>
      </c>
      <c r="J725">
        <v>0</v>
      </c>
      <c r="K725" t="str">
        <f>IF(customer[[#This Row],[IsChurned]]=1,"Churned","Active")</f>
        <v>Active</v>
      </c>
      <c r="L725" t="str">
        <f>TEXT(customer[[#This Row],[SubscriptionDate]],"mmm-yyyy")</f>
        <v>May-2023</v>
      </c>
      <c r="M725" s="1">
        <f ca="1">TODAY()-customer[[#This Row],[LastLoginDate]]</f>
        <v>817</v>
      </c>
    </row>
    <row r="726" spans="1:13" x14ac:dyDescent="0.3">
      <c r="A726">
        <v>725</v>
      </c>
      <c r="B726" t="s">
        <v>739</v>
      </c>
      <c r="C726">
        <v>28</v>
      </c>
      <c r="D726" t="s">
        <v>14</v>
      </c>
      <c r="E726" t="s">
        <v>15</v>
      </c>
      <c r="F726" s="1">
        <v>45157</v>
      </c>
      <c r="G726" s="1">
        <v>45358</v>
      </c>
      <c r="H726">
        <v>444</v>
      </c>
      <c r="I726">
        <v>3.8</v>
      </c>
      <c r="J726">
        <v>0</v>
      </c>
      <c r="K726" t="str">
        <f>IF(customer[[#This Row],[IsChurned]]=1,"Churned","Active")</f>
        <v>Active</v>
      </c>
      <c r="L726" t="str">
        <f>TEXT(customer[[#This Row],[SubscriptionDate]],"mmm-yyyy")</f>
        <v>Aug-2023</v>
      </c>
      <c r="M726" s="1">
        <f ca="1">TODAY()-customer[[#This Row],[LastLoginDate]]</f>
        <v>685</v>
      </c>
    </row>
    <row r="727" spans="1:13" x14ac:dyDescent="0.3">
      <c r="A727">
        <v>726</v>
      </c>
      <c r="B727" t="s">
        <v>740</v>
      </c>
      <c r="C727">
        <v>65</v>
      </c>
      <c r="D727" t="s">
        <v>11</v>
      </c>
      <c r="E727" t="s">
        <v>15</v>
      </c>
      <c r="F727" s="1">
        <v>45353</v>
      </c>
      <c r="G727" s="1">
        <v>45527</v>
      </c>
      <c r="H727">
        <v>190</v>
      </c>
      <c r="I727">
        <v>3.5</v>
      </c>
      <c r="J727">
        <v>1</v>
      </c>
      <c r="K727" t="str">
        <f>IF(customer[[#This Row],[IsChurned]]=1,"Churned","Active")</f>
        <v>Churned</v>
      </c>
      <c r="L727" t="str">
        <f>TEXT(customer[[#This Row],[SubscriptionDate]],"mmm-yyyy")</f>
        <v>Mar-2024</v>
      </c>
      <c r="M727" s="1">
        <f ca="1">TODAY()-customer[[#This Row],[LastLoginDate]]</f>
        <v>516</v>
      </c>
    </row>
    <row r="728" spans="1:13" x14ac:dyDescent="0.3">
      <c r="A728">
        <v>727</v>
      </c>
      <c r="B728" t="s">
        <v>741</v>
      </c>
      <c r="C728">
        <v>21</v>
      </c>
      <c r="D728" t="s">
        <v>14</v>
      </c>
      <c r="E728" t="s">
        <v>15</v>
      </c>
      <c r="F728" s="1">
        <v>45315</v>
      </c>
      <c r="G728" s="1">
        <v>45667</v>
      </c>
      <c r="H728">
        <v>169</v>
      </c>
      <c r="I728">
        <v>1.8</v>
      </c>
      <c r="J728">
        <v>0</v>
      </c>
      <c r="K728" t="str">
        <f>IF(customer[[#This Row],[IsChurned]]=1,"Churned","Active")</f>
        <v>Active</v>
      </c>
      <c r="L728" t="str">
        <f>TEXT(customer[[#This Row],[SubscriptionDate]],"mmm-yyyy")</f>
        <v>Jan-2024</v>
      </c>
      <c r="M728" s="1">
        <f ca="1">TODAY()-customer[[#This Row],[LastLoginDate]]</f>
        <v>376</v>
      </c>
    </row>
    <row r="729" spans="1:13" x14ac:dyDescent="0.3">
      <c r="A729">
        <v>728</v>
      </c>
      <c r="B729" t="s">
        <v>742</v>
      </c>
      <c r="C729">
        <v>39</v>
      </c>
      <c r="D729" t="s">
        <v>14</v>
      </c>
      <c r="E729" t="s">
        <v>15</v>
      </c>
      <c r="F729" s="1">
        <v>45450</v>
      </c>
      <c r="G729" s="1">
        <v>45723</v>
      </c>
      <c r="H729">
        <v>291</v>
      </c>
      <c r="I729">
        <v>2.4</v>
      </c>
      <c r="J729">
        <v>1</v>
      </c>
      <c r="K729" t="str">
        <f>IF(customer[[#This Row],[IsChurned]]=1,"Churned","Active")</f>
        <v>Churned</v>
      </c>
      <c r="L729" t="str">
        <f>TEXT(customer[[#This Row],[SubscriptionDate]],"mmm-yyyy")</f>
        <v>Jun-2024</v>
      </c>
      <c r="M729" s="1">
        <f ca="1">TODAY()-customer[[#This Row],[LastLoginDate]]</f>
        <v>320</v>
      </c>
    </row>
    <row r="730" spans="1:13" x14ac:dyDescent="0.3">
      <c r="A730">
        <v>729</v>
      </c>
      <c r="B730" t="s">
        <v>743</v>
      </c>
      <c r="C730">
        <v>21</v>
      </c>
      <c r="D730" t="s">
        <v>14</v>
      </c>
      <c r="E730" t="s">
        <v>15</v>
      </c>
      <c r="F730" s="1">
        <v>45146</v>
      </c>
      <c r="G730" s="1">
        <v>45284</v>
      </c>
      <c r="H730">
        <v>419</v>
      </c>
      <c r="I730">
        <v>4.4000000000000004</v>
      </c>
      <c r="J730">
        <v>1</v>
      </c>
      <c r="K730" t="str">
        <f>IF(customer[[#This Row],[IsChurned]]=1,"Churned","Active")</f>
        <v>Churned</v>
      </c>
      <c r="L730" t="str">
        <f>TEXT(customer[[#This Row],[SubscriptionDate]],"mmm-yyyy")</f>
        <v>Aug-2023</v>
      </c>
      <c r="M730" s="1">
        <f ca="1">TODAY()-customer[[#This Row],[LastLoginDate]]</f>
        <v>759</v>
      </c>
    </row>
    <row r="731" spans="1:13" x14ac:dyDescent="0.3">
      <c r="A731">
        <v>730</v>
      </c>
      <c r="B731" t="s">
        <v>744</v>
      </c>
      <c r="C731">
        <v>35</v>
      </c>
      <c r="D731" t="s">
        <v>14</v>
      </c>
      <c r="E731" t="s">
        <v>12</v>
      </c>
      <c r="F731" s="1">
        <v>44573</v>
      </c>
      <c r="G731" s="1">
        <v>44664</v>
      </c>
      <c r="H731">
        <v>486</v>
      </c>
      <c r="I731">
        <v>3.8</v>
      </c>
      <c r="J731">
        <v>0</v>
      </c>
      <c r="K731" t="str">
        <f>IF(customer[[#This Row],[IsChurned]]=1,"Churned","Active")</f>
        <v>Active</v>
      </c>
      <c r="L731" t="str">
        <f>TEXT(customer[[#This Row],[SubscriptionDate]],"mmm-yyyy")</f>
        <v>Jan-2022</v>
      </c>
      <c r="M731" s="1">
        <f ca="1">TODAY()-customer[[#This Row],[LastLoginDate]]</f>
        <v>1379</v>
      </c>
    </row>
    <row r="732" spans="1:13" x14ac:dyDescent="0.3">
      <c r="A732">
        <v>731</v>
      </c>
      <c r="B732" t="s">
        <v>745</v>
      </c>
      <c r="C732">
        <v>60</v>
      </c>
      <c r="D732" t="s">
        <v>14</v>
      </c>
      <c r="E732" t="s">
        <v>12</v>
      </c>
      <c r="F732" s="1">
        <v>45317</v>
      </c>
      <c r="G732" s="1">
        <v>45509</v>
      </c>
      <c r="H732">
        <v>389</v>
      </c>
      <c r="I732">
        <v>2</v>
      </c>
      <c r="J732">
        <v>0</v>
      </c>
      <c r="K732" t="str">
        <f>IF(customer[[#This Row],[IsChurned]]=1,"Churned","Active")</f>
        <v>Active</v>
      </c>
      <c r="L732" t="str">
        <f>TEXT(customer[[#This Row],[SubscriptionDate]],"mmm-yyyy")</f>
        <v>Jan-2024</v>
      </c>
      <c r="M732" s="1">
        <f ca="1">TODAY()-customer[[#This Row],[LastLoginDate]]</f>
        <v>534</v>
      </c>
    </row>
    <row r="733" spans="1:13" x14ac:dyDescent="0.3">
      <c r="A733">
        <v>732</v>
      </c>
      <c r="B733" t="s">
        <v>746</v>
      </c>
      <c r="C733">
        <v>54</v>
      </c>
      <c r="D733" t="s">
        <v>14</v>
      </c>
      <c r="E733" t="s">
        <v>12</v>
      </c>
      <c r="F733" s="1">
        <v>44936</v>
      </c>
      <c r="G733" s="1">
        <v>45074</v>
      </c>
      <c r="H733">
        <v>308</v>
      </c>
      <c r="I733">
        <v>2.7</v>
      </c>
      <c r="J733">
        <v>0</v>
      </c>
      <c r="K733" t="str">
        <f>IF(customer[[#This Row],[IsChurned]]=1,"Churned","Active")</f>
        <v>Active</v>
      </c>
      <c r="L733" t="str">
        <f>TEXT(customer[[#This Row],[SubscriptionDate]],"mmm-yyyy")</f>
        <v>Jan-2023</v>
      </c>
      <c r="M733" s="1">
        <f ca="1">TODAY()-customer[[#This Row],[LastLoginDate]]</f>
        <v>969</v>
      </c>
    </row>
    <row r="734" spans="1:13" x14ac:dyDescent="0.3">
      <c r="A734">
        <v>733</v>
      </c>
      <c r="B734" t="s">
        <v>747</v>
      </c>
      <c r="C734">
        <v>54</v>
      </c>
      <c r="D734" t="s">
        <v>14</v>
      </c>
      <c r="E734" t="s">
        <v>12</v>
      </c>
      <c r="F734" s="1">
        <v>45194</v>
      </c>
      <c r="G734" s="1">
        <v>45220</v>
      </c>
      <c r="H734">
        <v>91</v>
      </c>
      <c r="I734">
        <v>1.7</v>
      </c>
      <c r="J734">
        <v>0</v>
      </c>
      <c r="K734" t="str">
        <f>IF(customer[[#This Row],[IsChurned]]=1,"Churned","Active")</f>
        <v>Active</v>
      </c>
      <c r="L734" t="str">
        <f>TEXT(customer[[#This Row],[SubscriptionDate]],"mmm-yyyy")</f>
        <v>Sep-2023</v>
      </c>
      <c r="M734" s="1">
        <f ca="1">TODAY()-customer[[#This Row],[LastLoginDate]]</f>
        <v>823</v>
      </c>
    </row>
    <row r="735" spans="1:13" x14ac:dyDescent="0.3">
      <c r="A735">
        <v>734</v>
      </c>
      <c r="B735" t="s">
        <v>748</v>
      </c>
      <c r="C735">
        <v>53</v>
      </c>
      <c r="D735" t="s">
        <v>11</v>
      </c>
      <c r="E735" t="s">
        <v>12</v>
      </c>
      <c r="F735" s="1">
        <v>45160</v>
      </c>
      <c r="G735" s="1">
        <v>45424</v>
      </c>
      <c r="H735">
        <v>174</v>
      </c>
      <c r="I735">
        <v>4.7</v>
      </c>
      <c r="J735">
        <v>1</v>
      </c>
      <c r="K735" t="str">
        <f>IF(customer[[#This Row],[IsChurned]]=1,"Churned","Active")</f>
        <v>Churned</v>
      </c>
      <c r="L735" t="str">
        <f>TEXT(customer[[#This Row],[SubscriptionDate]],"mmm-yyyy")</f>
        <v>Aug-2023</v>
      </c>
      <c r="M735" s="1">
        <f ca="1">TODAY()-customer[[#This Row],[LastLoginDate]]</f>
        <v>619</v>
      </c>
    </row>
    <row r="736" spans="1:13" x14ac:dyDescent="0.3">
      <c r="A736">
        <v>735</v>
      </c>
      <c r="B736" t="s">
        <v>749</v>
      </c>
      <c r="C736">
        <v>42</v>
      </c>
      <c r="D736" t="s">
        <v>11</v>
      </c>
      <c r="E736" t="s">
        <v>15</v>
      </c>
      <c r="F736" s="1">
        <v>45304</v>
      </c>
      <c r="G736" s="1">
        <v>45376</v>
      </c>
      <c r="H736">
        <v>191</v>
      </c>
      <c r="I736">
        <v>2.2000000000000002</v>
      </c>
      <c r="J736">
        <v>0</v>
      </c>
      <c r="K736" t="str">
        <f>IF(customer[[#This Row],[IsChurned]]=1,"Churned","Active")</f>
        <v>Active</v>
      </c>
      <c r="L736" t="str">
        <f>TEXT(customer[[#This Row],[SubscriptionDate]],"mmm-yyyy")</f>
        <v>Jan-2024</v>
      </c>
      <c r="M736" s="1">
        <f ca="1">TODAY()-customer[[#This Row],[LastLoginDate]]</f>
        <v>667</v>
      </c>
    </row>
    <row r="737" spans="1:13" x14ac:dyDescent="0.3">
      <c r="A737">
        <v>736</v>
      </c>
      <c r="B737" t="s">
        <v>750</v>
      </c>
      <c r="C737">
        <v>45</v>
      </c>
      <c r="D737" t="s">
        <v>14</v>
      </c>
      <c r="E737" t="s">
        <v>18</v>
      </c>
      <c r="F737" s="1">
        <v>44996</v>
      </c>
      <c r="G737" s="1">
        <v>45291</v>
      </c>
      <c r="H737">
        <v>435</v>
      </c>
      <c r="I737">
        <v>2</v>
      </c>
      <c r="J737">
        <v>0</v>
      </c>
      <c r="K737" t="str">
        <f>IF(customer[[#This Row],[IsChurned]]=1,"Churned","Active")</f>
        <v>Active</v>
      </c>
      <c r="L737" t="str">
        <f>TEXT(customer[[#This Row],[SubscriptionDate]],"mmm-yyyy")</f>
        <v>Mar-2023</v>
      </c>
      <c r="M737" s="1">
        <f ca="1">TODAY()-customer[[#This Row],[LastLoginDate]]</f>
        <v>752</v>
      </c>
    </row>
    <row r="738" spans="1:13" x14ac:dyDescent="0.3">
      <c r="A738">
        <v>737</v>
      </c>
      <c r="B738" t="s">
        <v>751</v>
      </c>
      <c r="C738">
        <v>45</v>
      </c>
      <c r="D738" t="s">
        <v>11</v>
      </c>
      <c r="E738" t="s">
        <v>18</v>
      </c>
      <c r="F738" s="1">
        <v>45140</v>
      </c>
      <c r="G738" s="1">
        <v>45201</v>
      </c>
      <c r="H738">
        <v>425</v>
      </c>
      <c r="I738">
        <v>2</v>
      </c>
      <c r="J738">
        <v>1</v>
      </c>
      <c r="K738" t="str">
        <f>IF(customer[[#This Row],[IsChurned]]=1,"Churned","Active")</f>
        <v>Churned</v>
      </c>
      <c r="L738" t="str">
        <f>TEXT(customer[[#This Row],[SubscriptionDate]],"mmm-yyyy")</f>
        <v>Aug-2023</v>
      </c>
      <c r="M738" s="1">
        <f ca="1">TODAY()-customer[[#This Row],[LastLoginDate]]</f>
        <v>842</v>
      </c>
    </row>
    <row r="739" spans="1:13" x14ac:dyDescent="0.3">
      <c r="A739">
        <v>738</v>
      </c>
      <c r="B739" t="s">
        <v>752</v>
      </c>
      <c r="C739">
        <v>56</v>
      </c>
      <c r="D739" t="s">
        <v>11</v>
      </c>
      <c r="E739" t="s">
        <v>12</v>
      </c>
      <c r="F739" s="1">
        <v>45422</v>
      </c>
      <c r="G739" s="1">
        <v>45593</v>
      </c>
      <c r="H739">
        <v>102</v>
      </c>
      <c r="I739">
        <v>4.0999999999999996</v>
      </c>
      <c r="J739">
        <v>0</v>
      </c>
      <c r="K739" t="str">
        <f>IF(customer[[#This Row],[IsChurned]]=1,"Churned","Active")</f>
        <v>Active</v>
      </c>
      <c r="L739" t="str">
        <f>TEXT(customer[[#This Row],[SubscriptionDate]],"mmm-yyyy")</f>
        <v>May-2024</v>
      </c>
      <c r="M739" s="1">
        <f ca="1">TODAY()-customer[[#This Row],[LastLoginDate]]</f>
        <v>450</v>
      </c>
    </row>
    <row r="740" spans="1:13" x14ac:dyDescent="0.3">
      <c r="A740">
        <v>739</v>
      </c>
      <c r="B740" t="s">
        <v>753</v>
      </c>
      <c r="C740">
        <v>49</v>
      </c>
      <c r="D740" t="s">
        <v>14</v>
      </c>
      <c r="E740" t="s">
        <v>12</v>
      </c>
      <c r="F740" s="1">
        <v>44696</v>
      </c>
      <c r="G740" s="1">
        <v>44906</v>
      </c>
      <c r="H740">
        <v>87</v>
      </c>
      <c r="I740">
        <v>1.5</v>
      </c>
      <c r="J740">
        <v>1</v>
      </c>
      <c r="K740" t="str">
        <f>IF(customer[[#This Row],[IsChurned]]=1,"Churned","Active")</f>
        <v>Churned</v>
      </c>
      <c r="L740" t="str">
        <f>TEXT(customer[[#This Row],[SubscriptionDate]],"mmm-yyyy")</f>
        <v>May-2022</v>
      </c>
      <c r="M740" s="1">
        <f ca="1">TODAY()-customer[[#This Row],[LastLoginDate]]</f>
        <v>1137</v>
      </c>
    </row>
    <row r="741" spans="1:13" x14ac:dyDescent="0.3">
      <c r="A741">
        <v>740</v>
      </c>
      <c r="B741" t="s">
        <v>754</v>
      </c>
      <c r="C741">
        <v>32</v>
      </c>
      <c r="D741" t="s">
        <v>14</v>
      </c>
      <c r="E741" t="s">
        <v>15</v>
      </c>
      <c r="F741" s="1">
        <v>44714</v>
      </c>
      <c r="G741" s="1">
        <v>44814</v>
      </c>
      <c r="H741">
        <v>375</v>
      </c>
      <c r="I741">
        <v>1.2</v>
      </c>
      <c r="J741">
        <v>0</v>
      </c>
      <c r="K741" t="str">
        <f>IF(customer[[#This Row],[IsChurned]]=1,"Churned","Active")</f>
        <v>Active</v>
      </c>
      <c r="L741" t="str">
        <f>TEXT(customer[[#This Row],[SubscriptionDate]],"mmm-yyyy")</f>
        <v>Jun-2022</v>
      </c>
      <c r="M741" s="1">
        <f ca="1">TODAY()-customer[[#This Row],[LastLoginDate]]</f>
        <v>1229</v>
      </c>
    </row>
    <row r="742" spans="1:13" x14ac:dyDescent="0.3">
      <c r="A742">
        <v>741</v>
      </c>
      <c r="B742" t="s">
        <v>755</v>
      </c>
      <c r="C742">
        <v>48</v>
      </c>
      <c r="D742" t="s">
        <v>11</v>
      </c>
      <c r="E742" t="s">
        <v>12</v>
      </c>
      <c r="F742" s="1">
        <v>45272</v>
      </c>
      <c r="G742" s="1">
        <v>45497</v>
      </c>
      <c r="H742">
        <v>279</v>
      </c>
      <c r="I742">
        <v>2.2999999999999998</v>
      </c>
      <c r="J742">
        <v>1</v>
      </c>
      <c r="K742" t="str">
        <f>IF(customer[[#This Row],[IsChurned]]=1,"Churned","Active")</f>
        <v>Churned</v>
      </c>
      <c r="L742" t="str">
        <f>TEXT(customer[[#This Row],[SubscriptionDate]],"mmm-yyyy")</f>
        <v>Dec-2023</v>
      </c>
      <c r="M742" s="1">
        <f ca="1">TODAY()-customer[[#This Row],[LastLoginDate]]</f>
        <v>546</v>
      </c>
    </row>
    <row r="743" spans="1:13" x14ac:dyDescent="0.3">
      <c r="A743">
        <v>742</v>
      </c>
      <c r="B743" t="s">
        <v>756</v>
      </c>
      <c r="C743">
        <v>63</v>
      </c>
      <c r="D743" t="s">
        <v>14</v>
      </c>
      <c r="E743" t="s">
        <v>12</v>
      </c>
      <c r="F743" s="1">
        <v>45299</v>
      </c>
      <c r="G743" s="1">
        <v>45330</v>
      </c>
      <c r="H743">
        <v>10</v>
      </c>
      <c r="I743">
        <v>2.2999999999999998</v>
      </c>
      <c r="J743">
        <v>1</v>
      </c>
      <c r="K743" t="str">
        <f>IF(customer[[#This Row],[IsChurned]]=1,"Churned","Active")</f>
        <v>Churned</v>
      </c>
      <c r="L743" t="str">
        <f>TEXT(customer[[#This Row],[SubscriptionDate]],"mmm-yyyy")</f>
        <v>Jan-2024</v>
      </c>
      <c r="M743" s="1">
        <f ca="1">TODAY()-customer[[#This Row],[LastLoginDate]]</f>
        <v>713</v>
      </c>
    </row>
    <row r="744" spans="1:13" x14ac:dyDescent="0.3">
      <c r="A744">
        <v>743</v>
      </c>
      <c r="B744" t="s">
        <v>757</v>
      </c>
      <c r="C744">
        <v>45</v>
      </c>
      <c r="D744" t="s">
        <v>14</v>
      </c>
      <c r="E744" t="s">
        <v>15</v>
      </c>
      <c r="F744" s="1">
        <v>44984</v>
      </c>
      <c r="G744" s="1">
        <v>45303</v>
      </c>
      <c r="H744">
        <v>164</v>
      </c>
      <c r="I744">
        <v>4.5</v>
      </c>
      <c r="J744">
        <v>1</v>
      </c>
      <c r="K744" t="str">
        <f>IF(customer[[#This Row],[IsChurned]]=1,"Churned","Active")</f>
        <v>Churned</v>
      </c>
      <c r="L744" t="str">
        <f>TEXT(customer[[#This Row],[SubscriptionDate]],"mmm-yyyy")</f>
        <v>Feb-2023</v>
      </c>
      <c r="M744" s="1">
        <f ca="1">TODAY()-customer[[#This Row],[LastLoginDate]]</f>
        <v>740</v>
      </c>
    </row>
    <row r="745" spans="1:13" x14ac:dyDescent="0.3">
      <c r="A745">
        <v>744</v>
      </c>
      <c r="B745" t="s">
        <v>758</v>
      </c>
      <c r="C745">
        <v>47</v>
      </c>
      <c r="D745" t="s">
        <v>14</v>
      </c>
      <c r="E745" t="s">
        <v>12</v>
      </c>
      <c r="F745" s="1">
        <v>45129</v>
      </c>
      <c r="G745" s="1">
        <v>45456</v>
      </c>
      <c r="H745">
        <v>199</v>
      </c>
      <c r="I745">
        <v>1.6</v>
      </c>
      <c r="J745">
        <v>0</v>
      </c>
      <c r="K745" t="str">
        <f>IF(customer[[#This Row],[IsChurned]]=1,"Churned","Active")</f>
        <v>Active</v>
      </c>
      <c r="L745" t="str">
        <f>TEXT(customer[[#This Row],[SubscriptionDate]],"mmm-yyyy")</f>
        <v>Jul-2023</v>
      </c>
      <c r="M745" s="1">
        <f ca="1">TODAY()-customer[[#This Row],[LastLoginDate]]</f>
        <v>587</v>
      </c>
    </row>
    <row r="746" spans="1:13" x14ac:dyDescent="0.3">
      <c r="A746">
        <v>745</v>
      </c>
      <c r="B746" t="s">
        <v>759</v>
      </c>
      <c r="C746">
        <v>64</v>
      </c>
      <c r="D746" t="s">
        <v>14</v>
      </c>
      <c r="E746" t="s">
        <v>15</v>
      </c>
      <c r="F746" s="1">
        <v>45451</v>
      </c>
      <c r="G746" s="1">
        <v>45692</v>
      </c>
      <c r="H746">
        <v>394</v>
      </c>
      <c r="I746">
        <v>1.6</v>
      </c>
      <c r="J746">
        <v>0</v>
      </c>
      <c r="K746" t="str">
        <f>IF(customer[[#This Row],[IsChurned]]=1,"Churned","Active")</f>
        <v>Active</v>
      </c>
      <c r="L746" t="str">
        <f>TEXT(customer[[#This Row],[SubscriptionDate]],"mmm-yyyy")</f>
        <v>Jun-2024</v>
      </c>
      <c r="M746" s="1">
        <f ca="1">TODAY()-customer[[#This Row],[LastLoginDate]]</f>
        <v>351</v>
      </c>
    </row>
    <row r="747" spans="1:13" x14ac:dyDescent="0.3">
      <c r="A747">
        <v>746</v>
      </c>
      <c r="B747" t="s">
        <v>760</v>
      </c>
      <c r="C747">
        <v>60</v>
      </c>
      <c r="D747" t="s">
        <v>11</v>
      </c>
      <c r="E747" t="s">
        <v>15</v>
      </c>
      <c r="F747" s="1">
        <v>44993</v>
      </c>
      <c r="G747" s="1">
        <v>45216</v>
      </c>
      <c r="H747">
        <v>105</v>
      </c>
      <c r="I747">
        <v>1.8</v>
      </c>
      <c r="J747">
        <v>1</v>
      </c>
      <c r="K747" t="str">
        <f>IF(customer[[#This Row],[IsChurned]]=1,"Churned","Active")</f>
        <v>Churned</v>
      </c>
      <c r="L747" t="str">
        <f>TEXT(customer[[#This Row],[SubscriptionDate]],"mmm-yyyy")</f>
        <v>Mar-2023</v>
      </c>
      <c r="M747" s="1">
        <f ca="1">TODAY()-customer[[#This Row],[LastLoginDate]]</f>
        <v>827</v>
      </c>
    </row>
    <row r="748" spans="1:13" x14ac:dyDescent="0.3">
      <c r="A748">
        <v>747</v>
      </c>
      <c r="B748" t="s">
        <v>761</v>
      </c>
      <c r="C748">
        <v>58</v>
      </c>
      <c r="D748" t="s">
        <v>11</v>
      </c>
      <c r="E748" t="s">
        <v>12</v>
      </c>
      <c r="F748" s="1">
        <v>45423</v>
      </c>
      <c r="G748" s="1">
        <v>45667</v>
      </c>
      <c r="H748">
        <v>460</v>
      </c>
      <c r="I748">
        <v>1.9</v>
      </c>
      <c r="J748">
        <v>1</v>
      </c>
      <c r="K748" t="str">
        <f>IF(customer[[#This Row],[IsChurned]]=1,"Churned","Active")</f>
        <v>Churned</v>
      </c>
      <c r="L748" t="str">
        <f>TEXT(customer[[#This Row],[SubscriptionDate]],"mmm-yyyy")</f>
        <v>May-2024</v>
      </c>
      <c r="M748" s="1">
        <f ca="1">TODAY()-customer[[#This Row],[LastLoginDate]]</f>
        <v>376</v>
      </c>
    </row>
    <row r="749" spans="1:13" x14ac:dyDescent="0.3">
      <c r="A749">
        <v>748</v>
      </c>
      <c r="B749" t="s">
        <v>762</v>
      </c>
      <c r="C749">
        <v>31</v>
      </c>
      <c r="D749" t="s">
        <v>14</v>
      </c>
      <c r="E749" t="s">
        <v>15</v>
      </c>
      <c r="F749" s="1">
        <v>45274</v>
      </c>
      <c r="G749" s="1">
        <v>45431</v>
      </c>
      <c r="H749">
        <v>210</v>
      </c>
      <c r="I749">
        <v>3.3</v>
      </c>
      <c r="J749">
        <v>0</v>
      </c>
      <c r="K749" t="str">
        <f>IF(customer[[#This Row],[IsChurned]]=1,"Churned","Active")</f>
        <v>Active</v>
      </c>
      <c r="L749" t="str">
        <f>TEXT(customer[[#This Row],[SubscriptionDate]],"mmm-yyyy")</f>
        <v>Dec-2023</v>
      </c>
      <c r="M749" s="1">
        <f ca="1">TODAY()-customer[[#This Row],[LastLoginDate]]</f>
        <v>612</v>
      </c>
    </row>
    <row r="750" spans="1:13" x14ac:dyDescent="0.3">
      <c r="A750">
        <v>749</v>
      </c>
      <c r="B750" t="s">
        <v>763</v>
      </c>
      <c r="C750">
        <v>60</v>
      </c>
      <c r="D750" t="s">
        <v>11</v>
      </c>
      <c r="E750" t="s">
        <v>15</v>
      </c>
      <c r="F750" s="1">
        <v>45019</v>
      </c>
      <c r="G750" s="1">
        <v>45127</v>
      </c>
      <c r="H750">
        <v>317</v>
      </c>
      <c r="I750">
        <v>1.3</v>
      </c>
      <c r="J750">
        <v>1</v>
      </c>
      <c r="K750" t="str">
        <f>IF(customer[[#This Row],[IsChurned]]=1,"Churned","Active")</f>
        <v>Churned</v>
      </c>
      <c r="L750" t="str">
        <f>TEXT(customer[[#This Row],[SubscriptionDate]],"mmm-yyyy")</f>
        <v>Apr-2023</v>
      </c>
      <c r="M750" s="1">
        <f ca="1">TODAY()-customer[[#This Row],[LastLoginDate]]</f>
        <v>916</v>
      </c>
    </row>
    <row r="751" spans="1:13" x14ac:dyDescent="0.3">
      <c r="A751">
        <v>750</v>
      </c>
      <c r="B751" t="s">
        <v>764</v>
      </c>
      <c r="C751">
        <v>44</v>
      </c>
      <c r="D751" t="s">
        <v>11</v>
      </c>
      <c r="E751" t="s">
        <v>18</v>
      </c>
      <c r="F751" s="1">
        <v>45440</v>
      </c>
      <c r="G751" s="1">
        <v>45574</v>
      </c>
      <c r="H751">
        <v>210</v>
      </c>
      <c r="I751">
        <v>3.6</v>
      </c>
      <c r="J751">
        <v>0</v>
      </c>
      <c r="K751" t="str">
        <f>IF(customer[[#This Row],[IsChurned]]=1,"Churned","Active")</f>
        <v>Active</v>
      </c>
      <c r="L751" t="str">
        <f>TEXT(customer[[#This Row],[SubscriptionDate]],"mmm-yyyy")</f>
        <v>May-2024</v>
      </c>
      <c r="M751" s="1">
        <f ca="1">TODAY()-customer[[#This Row],[LastLoginDate]]</f>
        <v>469</v>
      </c>
    </row>
    <row r="752" spans="1:13" x14ac:dyDescent="0.3">
      <c r="A752">
        <v>751</v>
      </c>
      <c r="B752" t="s">
        <v>765</v>
      </c>
      <c r="C752">
        <v>47</v>
      </c>
      <c r="D752" t="s">
        <v>14</v>
      </c>
      <c r="E752" t="s">
        <v>15</v>
      </c>
      <c r="F752" s="1">
        <v>44886</v>
      </c>
      <c r="G752" s="1">
        <v>45069</v>
      </c>
      <c r="H752">
        <v>2</v>
      </c>
      <c r="I752">
        <v>3.8</v>
      </c>
      <c r="J752">
        <v>0</v>
      </c>
      <c r="K752" t="str">
        <f>IF(customer[[#This Row],[IsChurned]]=1,"Churned","Active")</f>
        <v>Active</v>
      </c>
      <c r="L752" t="str">
        <f>TEXT(customer[[#This Row],[SubscriptionDate]],"mmm-yyyy")</f>
        <v>Nov-2022</v>
      </c>
      <c r="M752" s="1">
        <f ca="1">TODAY()-customer[[#This Row],[LastLoginDate]]</f>
        <v>974</v>
      </c>
    </row>
    <row r="753" spans="1:13" x14ac:dyDescent="0.3">
      <c r="A753">
        <v>752</v>
      </c>
      <c r="B753" t="s">
        <v>766</v>
      </c>
      <c r="C753">
        <v>18</v>
      </c>
      <c r="D753" t="s">
        <v>11</v>
      </c>
      <c r="E753" t="s">
        <v>12</v>
      </c>
      <c r="F753" s="1">
        <v>45041</v>
      </c>
      <c r="G753" s="1">
        <v>45077</v>
      </c>
      <c r="H753">
        <v>32</v>
      </c>
      <c r="I753">
        <v>4.8</v>
      </c>
      <c r="J753">
        <v>0</v>
      </c>
      <c r="K753" t="str">
        <f>IF(customer[[#This Row],[IsChurned]]=1,"Churned","Active")</f>
        <v>Active</v>
      </c>
      <c r="L753" t="str">
        <f>TEXT(customer[[#This Row],[SubscriptionDate]],"mmm-yyyy")</f>
        <v>Apr-2023</v>
      </c>
      <c r="M753" s="1">
        <f ca="1">TODAY()-customer[[#This Row],[LastLoginDate]]</f>
        <v>966</v>
      </c>
    </row>
    <row r="754" spans="1:13" x14ac:dyDescent="0.3">
      <c r="A754">
        <v>753</v>
      </c>
      <c r="B754" t="s">
        <v>767</v>
      </c>
      <c r="C754">
        <v>49</v>
      </c>
      <c r="D754" t="s">
        <v>11</v>
      </c>
      <c r="E754" t="s">
        <v>18</v>
      </c>
      <c r="F754" s="1">
        <v>44977</v>
      </c>
      <c r="G754" s="1">
        <v>45291</v>
      </c>
      <c r="H754">
        <v>149</v>
      </c>
      <c r="I754">
        <v>4.3</v>
      </c>
      <c r="J754">
        <v>1</v>
      </c>
      <c r="K754" t="str">
        <f>IF(customer[[#This Row],[IsChurned]]=1,"Churned","Active")</f>
        <v>Churned</v>
      </c>
      <c r="L754" t="str">
        <f>TEXT(customer[[#This Row],[SubscriptionDate]],"mmm-yyyy")</f>
        <v>Feb-2023</v>
      </c>
      <c r="M754" s="1">
        <f ca="1">TODAY()-customer[[#This Row],[LastLoginDate]]</f>
        <v>752</v>
      </c>
    </row>
    <row r="755" spans="1:13" x14ac:dyDescent="0.3">
      <c r="A755">
        <v>754</v>
      </c>
      <c r="B755" t="s">
        <v>768</v>
      </c>
      <c r="C755">
        <v>56</v>
      </c>
      <c r="D755" t="s">
        <v>14</v>
      </c>
      <c r="E755" t="s">
        <v>18</v>
      </c>
      <c r="F755" s="1">
        <v>44827</v>
      </c>
      <c r="G755" s="1">
        <v>45146</v>
      </c>
      <c r="H755">
        <v>67</v>
      </c>
      <c r="I755">
        <v>3.2</v>
      </c>
      <c r="J755">
        <v>0</v>
      </c>
      <c r="K755" t="str">
        <f>IF(customer[[#This Row],[IsChurned]]=1,"Churned","Active")</f>
        <v>Active</v>
      </c>
      <c r="L755" t="str">
        <f>TEXT(customer[[#This Row],[SubscriptionDate]],"mmm-yyyy")</f>
        <v>Sep-2022</v>
      </c>
      <c r="M755" s="1">
        <f ca="1">TODAY()-customer[[#This Row],[LastLoginDate]]</f>
        <v>897</v>
      </c>
    </row>
    <row r="756" spans="1:13" x14ac:dyDescent="0.3">
      <c r="A756">
        <v>755</v>
      </c>
      <c r="B756" t="s">
        <v>769</v>
      </c>
      <c r="C756">
        <v>46</v>
      </c>
      <c r="D756" t="s">
        <v>11</v>
      </c>
      <c r="E756" t="s">
        <v>18</v>
      </c>
      <c r="F756" s="1">
        <v>45135</v>
      </c>
      <c r="G756" s="1">
        <v>45414</v>
      </c>
      <c r="H756">
        <v>239</v>
      </c>
      <c r="I756">
        <v>1.7</v>
      </c>
      <c r="J756">
        <v>1</v>
      </c>
      <c r="K756" t="str">
        <f>IF(customer[[#This Row],[IsChurned]]=1,"Churned","Active")</f>
        <v>Churned</v>
      </c>
      <c r="L756" t="str">
        <f>TEXT(customer[[#This Row],[SubscriptionDate]],"mmm-yyyy")</f>
        <v>Jul-2023</v>
      </c>
      <c r="M756" s="1">
        <f ca="1">TODAY()-customer[[#This Row],[LastLoginDate]]</f>
        <v>629</v>
      </c>
    </row>
    <row r="757" spans="1:13" x14ac:dyDescent="0.3">
      <c r="A757">
        <v>756</v>
      </c>
      <c r="B757" t="s">
        <v>770</v>
      </c>
      <c r="C757">
        <v>21</v>
      </c>
      <c r="D757" t="s">
        <v>11</v>
      </c>
      <c r="E757" t="s">
        <v>12</v>
      </c>
      <c r="F757" s="1">
        <v>45250</v>
      </c>
      <c r="G757" s="1">
        <v>45463</v>
      </c>
      <c r="H757">
        <v>156</v>
      </c>
      <c r="I757">
        <v>2.4</v>
      </c>
      <c r="J757">
        <v>0</v>
      </c>
      <c r="K757" t="str">
        <f>IF(customer[[#This Row],[IsChurned]]=1,"Churned","Active")</f>
        <v>Active</v>
      </c>
      <c r="L757" t="str">
        <f>TEXT(customer[[#This Row],[SubscriptionDate]],"mmm-yyyy")</f>
        <v>Nov-2023</v>
      </c>
      <c r="M757" s="1">
        <f ca="1">TODAY()-customer[[#This Row],[LastLoginDate]]</f>
        <v>580</v>
      </c>
    </row>
    <row r="758" spans="1:13" x14ac:dyDescent="0.3">
      <c r="A758">
        <v>757</v>
      </c>
      <c r="B758" t="s">
        <v>771</v>
      </c>
      <c r="C758">
        <v>32</v>
      </c>
      <c r="D758" t="s">
        <v>11</v>
      </c>
      <c r="E758" t="s">
        <v>12</v>
      </c>
      <c r="F758" s="1">
        <v>45135</v>
      </c>
      <c r="G758" s="1">
        <v>45264</v>
      </c>
      <c r="H758">
        <v>253</v>
      </c>
      <c r="I758">
        <v>2.1</v>
      </c>
      <c r="J758">
        <v>1</v>
      </c>
      <c r="K758" t="str">
        <f>IF(customer[[#This Row],[IsChurned]]=1,"Churned","Active")</f>
        <v>Churned</v>
      </c>
      <c r="L758" t="str">
        <f>TEXT(customer[[#This Row],[SubscriptionDate]],"mmm-yyyy")</f>
        <v>Jul-2023</v>
      </c>
      <c r="M758" s="1">
        <f ca="1">TODAY()-customer[[#This Row],[LastLoginDate]]</f>
        <v>779</v>
      </c>
    </row>
    <row r="759" spans="1:13" x14ac:dyDescent="0.3">
      <c r="A759">
        <v>758</v>
      </c>
      <c r="B759" t="s">
        <v>772</v>
      </c>
      <c r="C759">
        <v>28</v>
      </c>
      <c r="D759" t="s">
        <v>11</v>
      </c>
      <c r="E759" t="s">
        <v>18</v>
      </c>
      <c r="F759" s="1">
        <v>44672</v>
      </c>
      <c r="G759" s="1">
        <v>44988</v>
      </c>
      <c r="H759">
        <v>42</v>
      </c>
      <c r="I759">
        <v>4</v>
      </c>
      <c r="J759">
        <v>1</v>
      </c>
      <c r="K759" t="str">
        <f>IF(customer[[#This Row],[IsChurned]]=1,"Churned","Active")</f>
        <v>Churned</v>
      </c>
      <c r="L759" t="str">
        <f>TEXT(customer[[#This Row],[SubscriptionDate]],"mmm-yyyy")</f>
        <v>Apr-2022</v>
      </c>
      <c r="M759" s="1">
        <f ca="1">TODAY()-customer[[#This Row],[LastLoginDate]]</f>
        <v>1055</v>
      </c>
    </row>
    <row r="760" spans="1:13" x14ac:dyDescent="0.3">
      <c r="A760">
        <v>759</v>
      </c>
      <c r="B760" t="s">
        <v>773</v>
      </c>
      <c r="C760">
        <v>23</v>
      </c>
      <c r="D760" t="s">
        <v>14</v>
      </c>
      <c r="E760" t="s">
        <v>15</v>
      </c>
      <c r="F760" s="1">
        <v>45256</v>
      </c>
      <c r="G760" s="1">
        <v>45518</v>
      </c>
      <c r="H760">
        <v>249</v>
      </c>
      <c r="I760">
        <v>4</v>
      </c>
      <c r="J760">
        <v>0</v>
      </c>
      <c r="K760" t="str">
        <f>IF(customer[[#This Row],[IsChurned]]=1,"Churned","Active")</f>
        <v>Active</v>
      </c>
      <c r="L760" t="str">
        <f>TEXT(customer[[#This Row],[SubscriptionDate]],"mmm-yyyy")</f>
        <v>Nov-2023</v>
      </c>
      <c r="M760" s="1">
        <f ca="1">TODAY()-customer[[#This Row],[LastLoginDate]]</f>
        <v>525</v>
      </c>
    </row>
    <row r="761" spans="1:13" x14ac:dyDescent="0.3">
      <c r="A761">
        <v>760</v>
      </c>
      <c r="B761" t="s">
        <v>774</v>
      </c>
      <c r="C761">
        <v>46</v>
      </c>
      <c r="D761" t="s">
        <v>11</v>
      </c>
      <c r="E761" t="s">
        <v>18</v>
      </c>
      <c r="F761" s="1">
        <v>45006</v>
      </c>
      <c r="G761" s="1">
        <v>45196</v>
      </c>
      <c r="H761">
        <v>262</v>
      </c>
      <c r="I761">
        <v>1.1000000000000001</v>
      </c>
      <c r="J761">
        <v>1</v>
      </c>
      <c r="K761" t="str">
        <f>IF(customer[[#This Row],[IsChurned]]=1,"Churned","Active")</f>
        <v>Churned</v>
      </c>
      <c r="L761" t="str">
        <f>TEXT(customer[[#This Row],[SubscriptionDate]],"mmm-yyyy")</f>
        <v>Mar-2023</v>
      </c>
      <c r="M761" s="1">
        <f ca="1">TODAY()-customer[[#This Row],[LastLoginDate]]</f>
        <v>847</v>
      </c>
    </row>
    <row r="762" spans="1:13" x14ac:dyDescent="0.3">
      <c r="A762">
        <v>761</v>
      </c>
      <c r="B762" t="s">
        <v>775</v>
      </c>
      <c r="C762">
        <v>44</v>
      </c>
      <c r="D762" t="s">
        <v>11</v>
      </c>
      <c r="E762" t="s">
        <v>15</v>
      </c>
      <c r="F762" s="1">
        <v>45273</v>
      </c>
      <c r="G762" s="1">
        <v>45383</v>
      </c>
      <c r="H762">
        <v>425</v>
      </c>
      <c r="I762">
        <v>2.8</v>
      </c>
      <c r="J762">
        <v>1</v>
      </c>
      <c r="K762" t="str">
        <f>IF(customer[[#This Row],[IsChurned]]=1,"Churned","Active")</f>
        <v>Churned</v>
      </c>
      <c r="L762" t="str">
        <f>TEXT(customer[[#This Row],[SubscriptionDate]],"mmm-yyyy")</f>
        <v>Dec-2023</v>
      </c>
      <c r="M762" s="1">
        <f ca="1">TODAY()-customer[[#This Row],[LastLoginDate]]</f>
        <v>660</v>
      </c>
    </row>
    <row r="763" spans="1:13" x14ac:dyDescent="0.3">
      <c r="A763">
        <v>762</v>
      </c>
      <c r="B763" t="s">
        <v>776</v>
      </c>
      <c r="C763">
        <v>60</v>
      </c>
      <c r="D763" t="s">
        <v>14</v>
      </c>
      <c r="E763" t="s">
        <v>15</v>
      </c>
      <c r="F763" s="1">
        <v>44793</v>
      </c>
      <c r="G763" s="1">
        <v>44926</v>
      </c>
      <c r="H763">
        <v>268</v>
      </c>
      <c r="I763">
        <v>2.9</v>
      </c>
      <c r="J763">
        <v>1</v>
      </c>
      <c r="K763" t="str">
        <f>IF(customer[[#This Row],[IsChurned]]=1,"Churned","Active")</f>
        <v>Churned</v>
      </c>
      <c r="L763" t="str">
        <f>TEXT(customer[[#This Row],[SubscriptionDate]],"mmm-yyyy")</f>
        <v>Aug-2022</v>
      </c>
      <c r="M763" s="1">
        <f ca="1">TODAY()-customer[[#This Row],[LastLoginDate]]</f>
        <v>1117</v>
      </c>
    </row>
    <row r="764" spans="1:13" x14ac:dyDescent="0.3">
      <c r="A764">
        <v>763</v>
      </c>
      <c r="B764" t="s">
        <v>777</v>
      </c>
      <c r="C764">
        <v>48</v>
      </c>
      <c r="D764" t="s">
        <v>14</v>
      </c>
      <c r="E764" t="s">
        <v>15</v>
      </c>
      <c r="F764" s="1">
        <v>45427</v>
      </c>
      <c r="G764" s="1">
        <v>45494</v>
      </c>
      <c r="H764">
        <v>246</v>
      </c>
      <c r="I764">
        <v>1.9</v>
      </c>
      <c r="J764">
        <v>1</v>
      </c>
      <c r="K764" t="str">
        <f>IF(customer[[#This Row],[IsChurned]]=1,"Churned","Active")</f>
        <v>Churned</v>
      </c>
      <c r="L764" t="str">
        <f>TEXT(customer[[#This Row],[SubscriptionDate]],"mmm-yyyy")</f>
        <v>May-2024</v>
      </c>
      <c r="M764" s="1">
        <f ca="1">TODAY()-customer[[#This Row],[LastLoginDate]]</f>
        <v>549</v>
      </c>
    </row>
    <row r="765" spans="1:13" x14ac:dyDescent="0.3">
      <c r="A765">
        <v>764</v>
      </c>
      <c r="B765" t="s">
        <v>778</v>
      </c>
      <c r="C765">
        <v>63</v>
      </c>
      <c r="D765" t="s">
        <v>14</v>
      </c>
      <c r="E765" t="s">
        <v>15</v>
      </c>
      <c r="F765" s="1">
        <v>45190</v>
      </c>
      <c r="G765" s="1">
        <v>45341</v>
      </c>
      <c r="H765">
        <v>69</v>
      </c>
      <c r="I765">
        <v>2</v>
      </c>
      <c r="J765">
        <v>1</v>
      </c>
      <c r="K765" t="str">
        <f>IF(customer[[#This Row],[IsChurned]]=1,"Churned","Active")</f>
        <v>Churned</v>
      </c>
      <c r="L765" t="str">
        <f>TEXT(customer[[#This Row],[SubscriptionDate]],"mmm-yyyy")</f>
        <v>Sep-2023</v>
      </c>
      <c r="M765" s="1">
        <f ca="1">TODAY()-customer[[#This Row],[LastLoginDate]]</f>
        <v>702</v>
      </c>
    </row>
    <row r="766" spans="1:13" x14ac:dyDescent="0.3">
      <c r="A766">
        <v>765</v>
      </c>
      <c r="B766" t="s">
        <v>779</v>
      </c>
      <c r="C766">
        <v>44</v>
      </c>
      <c r="D766" t="s">
        <v>11</v>
      </c>
      <c r="E766" t="s">
        <v>15</v>
      </c>
      <c r="F766" s="1">
        <v>44777</v>
      </c>
      <c r="G766" s="1">
        <v>44860</v>
      </c>
      <c r="H766">
        <v>424</v>
      </c>
      <c r="I766">
        <v>2.5</v>
      </c>
      <c r="J766">
        <v>0</v>
      </c>
      <c r="K766" t="str">
        <f>IF(customer[[#This Row],[IsChurned]]=1,"Churned","Active")</f>
        <v>Active</v>
      </c>
      <c r="L766" t="str">
        <f>TEXT(customer[[#This Row],[SubscriptionDate]],"mmm-yyyy")</f>
        <v>Aug-2022</v>
      </c>
      <c r="M766" s="1">
        <f ca="1">TODAY()-customer[[#This Row],[LastLoginDate]]</f>
        <v>1183</v>
      </c>
    </row>
    <row r="767" spans="1:13" x14ac:dyDescent="0.3">
      <c r="A767">
        <v>766</v>
      </c>
      <c r="B767" t="s">
        <v>780</v>
      </c>
      <c r="C767">
        <v>38</v>
      </c>
      <c r="D767" t="s">
        <v>11</v>
      </c>
      <c r="E767" t="s">
        <v>12</v>
      </c>
      <c r="F767" s="1">
        <v>44985</v>
      </c>
      <c r="G767" s="1">
        <v>45226</v>
      </c>
      <c r="H767">
        <v>144</v>
      </c>
      <c r="I767">
        <v>1.2</v>
      </c>
      <c r="J767">
        <v>1</v>
      </c>
      <c r="K767" t="str">
        <f>IF(customer[[#This Row],[IsChurned]]=1,"Churned","Active")</f>
        <v>Churned</v>
      </c>
      <c r="L767" t="str">
        <f>TEXT(customer[[#This Row],[SubscriptionDate]],"mmm-yyyy")</f>
        <v>Feb-2023</v>
      </c>
      <c r="M767" s="1">
        <f ca="1">TODAY()-customer[[#This Row],[LastLoginDate]]</f>
        <v>817</v>
      </c>
    </row>
    <row r="768" spans="1:13" x14ac:dyDescent="0.3">
      <c r="A768">
        <v>767</v>
      </c>
      <c r="B768" t="s">
        <v>781</v>
      </c>
      <c r="C768">
        <v>40</v>
      </c>
      <c r="D768" t="s">
        <v>14</v>
      </c>
      <c r="E768" t="s">
        <v>12</v>
      </c>
      <c r="F768" s="1">
        <v>44861</v>
      </c>
      <c r="G768" s="1">
        <v>45125</v>
      </c>
      <c r="H768">
        <v>228</v>
      </c>
      <c r="I768">
        <v>4.2</v>
      </c>
      <c r="J768">
        <v>0</v>
      </c>
      <c r="K768" t="str">
        <f>IF(customer[[#This Row],[IsChurned]]=1,"Churned","Active")</f>
        <v>Active</v>
      </c>
      <c r="L768" t="str">
        <f>TEXT(customer[[#This Row],[SubscriptionDate]],"mmm-yyyy")</f>
        <v>Oct-2022</v>
      </c>
      <c r="M768" s="1">
        <f ca="1">TODAY()-customer[[#This Row],[LastLoginDate]]</f>
        <v>918</v>
      </c>
    </row>
    <row r="769" spans="1:13" x14ac:dyDescent="0.3">
      <c r="A769">
        <v>768</v>
      </c>
      <c r="B769" t="s">
        <v>782</v>
      </c>
      <c r="C769">
        <v>24</v>
      </c>
      <c r="D769" t="s">
        <v>11</v>
      </c>
      <c r="E769" t="s">
        <v>12</v>
      </c>
      <c r="F769" s="1">
        <v>45040</v>
      </c>
      <c r="G769" s="1">
        <v>45374</v>
      </c>
      <c r="H769">
        <v>372</v>
      </c>
      <c r="I769">
        <v>1.6</v>
      </c>
      <c r="J769">
        <v>1</v>
      </c>
      <c r="K769" t="str">
        <f>IF(customer[[#This Row],[IsChurned]]=1,"Churned","Active")</f>
        <v>Churned</v>
      </c>
      <c r="L769" t="str">
        <f>TEXT(customer[[#This Row],[SubscriptionDate]],"mmm-yyyy")</f>
        <v>Apr-2023</v>
      </c>
      <c r="M769" s="1">
        <f ca="1">TODAY()-customer[[#This Row],[LastLoginDate]]</f>
        <v>669</v>
      </c>
    </row>
    <row r="770" spans="1:13" x14ac:dyDescent="0.3">
      <c r="A770">
        <v>769</v>
      </c>
      <c r="B770" t="s">
        <v>783</v>
      </c>
      <c r="C770">
        <v>32</v>
      </c>
      <c r="D770" t="s">
        <v>11</v>
      </c>
      <c r="E770" t="s">
        <v>15</v>
      </c>
      <c r="F770" s="1">
        <v>45438</v>
      </c>
      <c r="G770" s="1">
        <v>45569</v>
      </c>
      <c r="H770">
        <v>2</v>
      </c>
      <c r="I770">
        <v>4.9000000000000004</v>
      </c>
      <c r="J770">
        <v>1</v>
      </c>
      <c r="K770" t="str">
        <f>IF(customer[[#This Row],[IsChurned]]=1,"Churned","Active")</f>
        <v>Churned</v>
      </c>
      <c r="L770" t="str">
        <f>TEXT(customer[[#This Row],[SubscriptionDate]],"mmm-yyyy")</f>
        <v>May-2024</v>
      </c>
      <c r="M770" s="1">
        <f ca="1">TODAY()-customer[[#This Row],[LastLoginDate]]</f>
        <v>474</v>
      </c>
    </row>
    <row r="771" spans="1:13" x14ac:dyDescent="0.3">
      <c r="A771">
        <v>770</v>
      </c>
      <c r="B771" t="s">
        <v>784</v>
      </c>
      <c r="C771">
        <v>65</v>
      </c>
      <c r="D771" t="s">
        <v>14</v>
      </c>
      <c r="E771" t="s">
        <v>15</v>
      </c>
      <c r="F771" s="1">
        <v>44773</v>
      </c>
      <c r="G771" s="1">
        <v>45133</v>
      </c>
      <c r="H771">
        <v>60</v>
      </c>
      <c r="I771">
        <v>2.5</v>
      </c>
      <c r="J771">
        <v>1</v>
      </c>
      <c r="K771" t="str">
        <f>IF(customer[[#This Row],[IsChurned]]=1,"Churned","Active")</f>
        <v>Churned</v>
      </c>
      <c r="L771" t="str">
        <f>TEXT(customer[[#This Row],[SubscriptionDate]],"mmm-yyyy")</f>
        <v>Jul-2022</v>
      </c>
      <c r="M771" s="1">
        <f ca="1">TODAY()-customer[[#This Row],[LastLoginDate]]</f>
        <v>910</v>
      </c>
    </row>
    <row r="772" spans="1:13" x14ac:dyDescent="0.3">
      <c r="A772">
        <v>771</v>
      </c>
      <c r="B772" t="s">
        <v>785</v>
      </c>
      <c r="C772">
        <v>37</v>
      </c>
      <c r="D772" t="s">
        <v>11</v>
      </c>
      <c r="E772" t="s">
        <v>18</v>
      </c>
      <c r="F772" s="1">
        <v>45193</v>
      </c>
      <c r="G772" s="1">
        <v>45462</v>
      </c>
      <c r="H772">
        <v>159</v>
      </c>
      <c r="I772">
        <v>3.5</v>
      </c>
      <c r="J772">
        <v>1</v>
      </c>
      <c r="K772" t="str">
        <f>IF(customer[[#This Row],[IsChurned]]=1,"Churned","Active")</f>
        <v>Churned</v>
      </c>
      <c r="L772" t="str">
        <f>TEXT(customer[[#This Row],[SubscriptionDate]],"mmm-yyyy")</f>
        <v>Sep-2023</v>
      </c>
      <c r="M772" s="1">
        <f ca="1">TODAY()-customer[[#This Row],[LastLoginDate]]</f>
        <v>581</v>
      </c>
    </row>
    <row r="773" spans="1:13" x14ac:dyDescent="0.3">
      <c r="A773">
        <v>772</v>
      </c>
      <c r="B773" t="s">
        <v>786</v>
      </c>
      <c r="C773">
        <v>63</v>
      </c>
      <c r="D773" t="s">
        <v>11</v>
      </c>
      <c r="E773" t="s">
        <v>18</v>
      </c>
      <c r="F773" s="1">
        <v>45261</v>
      </c>
      <c r="G773" s="1">
        <v>45319</v>
      </c>
      <c r="H773">
        <v>295</v>
      </c>
      <c r="I773">
        <v>4.7</v>
      </c>
      <c r="J773">
        <v>0</v>
      </c>
      <c r="K773" t="str">
        <f>IF(customer[[#This Row],[IsChurned]]=1,"Churned","Active")</f>
        <v>Active</v>
      </c>
      <c r="L773" t="str">
        <f>TEXT(customer[[#This Row],[SubscriptionDate]],"mmm-yyyy")</f>
        <v>Dec-2023</v>
      </c>
      <c r="M773" s="1">
        <f ca="1">TODAY()-customer[[#This Row],[LastLoginDate]]</f>
        <v>724</v>
      </c>
    </row>
    <row r="774" spans="1:13" x14ac:dyDescent="0.3">
      <c r="A774">
        <v>773</v>
      </c>
      <c r="B774" t="s">
        <v>787</v>
      </c>
      <c r="C774">
        <v>37</v>
      </c>
      <c r="D774" t="s">
        <v>14</v>
      </c>
      <c r="E774" t="s">
        <v>15</v>
      </c>
      <c r="F774" s="1">
        <v>45201</v>
      </c>
      <c r="G774" s="1">
        <v>45508</v>
      </c>
      <c r="H774">
        <v>435</v>
      </c>
      <c r="I774">
        <v>4.9000000000000004</v>
      </c>
      <c r="J774">
        <v>0</v>
      </c>
      <c r="K774" t="str">
        <f>IF(customer[[#This Row],[IsChurned]]=1,"Churned","Active")</f>
        <v>Active</v>
      </c>
      <c r="L774" t="str">
        <f>TEXT(customer[[#This Row],[SubscriptionDate]],"mmm-yyyy")</f>
        <v>Oct-2023</v>
      </c>
      <c r="M774" s="1">
        <f ca="1">TODAY()-customer[[#This Row],[LastLoginDate]]</f>
        <v>535</v>
      </c>
    </row>
    <row r="775" spans="1:13" x14ac:dyDescent="0.3">
      <c r="A775">
        <v>774</v>
      </c>
      <c r="B775" t="s">
        <v>788</v>
      </c>
      <c r="C775">
        <v>26</v>
      </c>
      <c r="D775" t="s">
        <v>11</v>
      </c>
      <c r="E775" t="s">
        <v>12</v>
      </c>
      <c r="F775" s="1">
        <v>45163</v>
      </c>
      <c r="G775" s="1">
        <v>45236</v>
      </c>
      <c r="H775">
        <v>50</v>
      </c>
      <c r="I775">
        <v>2.7</v>
      </c>
      <c r="J775">
        <v>1</v>
      </c>
      <c r="K775" t="str">
        <f>IF(customer[[#This Row],[IsChurned]]=1,"Churned","Active")</f>
        <v>Churned</v>
      </c>
      <c r="L775" t="str">
        <f>TEXT(customer[[#This Row],[SubscriptionDate]],"mmm-yyyy")</f>
        <v>Aug-2023</v>
      </c>
      <c r="M775" s="1">
        <f ca="1">TODAY()-customer[[#This Row],[LastLoginDate]]</f>
        <v>807</v>
      </c>
    </row>
    <row r="776" spans="1:13" x14ac:dyDescent="0.3">
      <c r="A776">
        <v>775</v>
      </c>
      <c r="B776" t="s">
        <v>789</v>
      </c>
      <c r="C776">
        <v>50</v>
      </c>
      <c r="D776" t="s">
        <v>11</v>
      </c>
      <c r="E776" t="s">
        <v>12</v>
      </c>
      <c r="F776" s="1">
        <v>44598</v>
      </c>
      <c r="G776" s="1">
        <v>44782</v>
      </c>
      <c r="H776">
        <v>277</v>
      </c>
      <c r="I776">
        <v>4.7</v>
      </c>
      <c r="J776">
        <v>1</v>
      </c>
      <c r="K776" t="str">
        <f>IF(customer[[#This Row],[IsChurned]]=1,"Churned","Active")</f>
        <v>Churned</v>
      </c>
      <c r="L776" t="str">
        <f>TEXT(customer[[#This Row],[SubscriptionDate]],"mmm-yyyy")</f>
        <v>Feb-2022</v>
      </c>
      <c r="M776" s="1">
        <f ca="1">TODAY()-customer[[#This Row],[LastLoginDate]]</f>
        <v>1261</v>
      </c>
    </row>
    <row r="777" spans="1:13" x14ac:dyDescent="0.3">
      <c r="A777">
        <v>776</v>
      </c>
      <c r="B777" t="s">
        <v>790</v>
      </c>
      <c r="C777">
        <v>44</v>
      </c>
      <c r="D777" t="s">
        <v>11</v>
      </c>
      <c r="E777" t="s">
        <v>12</v>
      </c>
      <c r="F777" s="1">
        <v>44800</v>
      </c>
      <c r="G777" s="1">
        <v>45048</v>
      </c>
      <c r="H777">
        <v>147</v>
      </c>
      <c r="I777">
        <v>2.6</v>
      </c>
      <c r="J777">
        <v>0</v>
      </c>
      <c r="K777" t="str">
        <f>IF(customer[[#This Row],[IsChurned]]=1,"Churned","Active")</f>
        <v>Active</v>
      </c>
      <c r="L777" t="str">
        <f>TEXT(customer[[#This Row],[SubscriptionDate]],"mmm-yyyy")</f>
        <v>Aug-2022</v>
      </c>
      <c r="M777" s="1">
        <f ca="1">TODAY()-customer[[#This Row],[LastLoginDate]]</f>
        <v>995</v>
      </c>
    </row>
    <row r="778" spans="1:13" x14ac:dyDescent="0.3">
      <c r="A778">
        <v>777</v>
      </c>
      <c r="B778" t="s">
        <v>791</v>
      </c>
      <c r="C778">
        <v>59</v>
      </c>
      <c r="D778" t="s">
        <v>11</v>
      </c>
      <c r="E778" t="s">
        <v>18</v>
      </c>
      <c r="F778" s="1">
        <v>44686</v>
      </c>
      <c r="G778" s="1">
        <v>44735</v>
      </c>
      <c r="H778">
        <v>317</v>
      </c>
      <c r="I778">
        <v>2</v>
      </c>
      <c r="J778">
        <v>1</v>
      </c>
      <c r="K778" t="str">
        <f>IF(customer[[#This Row],[IsChurned]]=1,"Churned","Active")</f>
        <v>Churned</v>
      </c>
      <c r="L778" t="str">
        <f>TEXT(customer[[#This Row],[SubscriptionDate]],"mmm-yyyy")</f>
        <v>May-2022</v>
      </c>
      <c r="M778" s="1">
        <f ca="1">TODAY()-customer[[#This Row],[LastLoginDate]]</f>
        <v>1308</v>
      </c>
    </row>
    <row r="779" spans="1:13" x14ac:dyDescent="0.3">
      <c r="A779">
        <v>778</v>
      </c>
      <c r="B779" t="s">
        <v>792</v>
      </c>
      <c r="C779">
        <v>50</v>
      </c>
      <c r="D779" t="s">
        <v>14</v>
      </c>
      <c r="E779" t="s">
        <v>18</v>
      </c>
      <c r="F779" s="1">
        <v>45420</v>
      </c>
      <c r="G779" s="1">
        <v>45588</v>
      </c>
      <c r="H779">
        <v>207</v>
      </c>
      <c r="I779">
        <v>4.5999999999999996</v>
      </c>
      <c r="J779">
        <v>1</v>
      </c>
      <c r="K779" t="str">
        <f>IF(customer[[#This Row],[IsChurned]]=1,"Churned","Active")</f>
        <v>Churned</v>
      </c>
      <c r="L779" t="str">
        <f>TEXT(customer[[#This Row],[SubscriptionDate]],"mmm-yyyy")</f>
        <v>May-2024</v>
      </c>
      <c r="M779" s="1">
        <f ca="1">TODAY()-customer[[#This Row],[LastLoginDate]]</f>
        <v>455</v>
      </c>
    </row>
    <row r="780" spans="1:13" x14ac:dyDescent="0.3">
      <c r="A780">
        <v>779</v>
      </c>
      <c r="B780" t="s">
        <v>793</v>
      </c>
      <c r="C780">
        <v>61</v>
      </c>
      <c r="D780" t="s">
        <v>11</v>
      </c>
      <c r="E780" t="s">
        <v>18</v>
      </c>
      <c r="F780" s="1">
        <v>45337</v>
      </c>
      <c r="G780" s="1">
        <v>45446</v>
      </c>
      <c r="H780">
        <v>121</v>
      </c>
      <c r="I780">
        <v>2.7</v>
      </c>
      <c r="J780">
        <v>1</v>
      </c>
      <c r="K780" t="str">
        <f>IF(customer[[#This Row],[IsChurned]]=1,"Churned","Active")</f>
        <v>Churned</v>
      </c>
      <c r="L780" t="str">
        <f>TEXT(customer[[#This Row],[SubscriptionDate]],"mmm-yyyy")</f>
        <v>Feb-2024</v>
      </c>
      <c r="M780" s="1">
        <f ca="1">TODAY()-customer[[#This Row],[LastLoginDate]]</f>
        <v>597</v>
      </c>
    </row>
    <row r="781" spans="1:13" x14ac:dyDescent="0.3">
      <c r="A781">
        <v>780</v>
      </c>
      <c r="B781" t="s">
        <v>794</v>
      </c>
      <c r="C781">
        <v>37</v>
      </c>
      <c r="D781" t="s">
        <v>11</v>
      </c>
      <c r="E781" t="s">
        <v>15</v>
      </c>
      <c r="F781" s="1">
        <v>45426</v>
      </c>
      <c r="G781" s="1">
        <v>45491</v>
      </c>
      <c r="H781">
        <v>62</v>
      </c>
      <c r="I781">
        <v>3.3</v>
      </c>
      <c r="J781">
        <v>0</v>
      </c>
      <c r="K781" t="str">
        <f>IF(customer[[#This Row],[IsChurned]]=1,"Churned","Active")</f>
        <v>Active</v>
      </c>
      <c r="L781" t="str">
        <f>TEXT(customer[[#This Row],[SubscriptionDate]],"mmm-yyyy")</f>
        <v>May-2024</v>
      </c>
      <c r="M781" s="1">
        <f ca="1">TODAY()-customer[[#This Row],[LastLoginDate]]</f>
        <v>552</v>
      </c>
    </row>
    <row r="782" spans="1:13" x14ac:dyDescent="0.3">
      <c r="A782">
        <v>781</v>
      </c>
      <c r="B782" t="s">
        <v>795</v>
      </c>
      <c r="C782">
        <v>31</v>
      </c>
      <c r="D782" t="s">
        <v>14</v>
      </c>
      <c r="E782" t="s">
        <v>15</v>
      </c>
      <c r="F782" s="1">
        <v>45068</v>
      </c>
      <c r="G782" s="1">
        <v>45166</v>
      </c>
      <c r="H782">
        <v>443</v>
      </c>
      <c r="I782">
        <v>4.2</v>
      </c>
      <c r="J782">
        <v>0</v>
      </c>
      <c r="K782" t="str">
        <f>IF(customer[[#This Row],[IsChurned]]=1,"Churned","Active")</f>
        <v>Active</v>
      </c>
      <c r="L782" t="str">
        <f>TEXT(customer[[#This Row],[SubscriptionDate]],"mmm-yyyy")</f>
        <v>May-2023</v>
      </c>
      <c r="M782" s="1">
        <f ca="1">TODAY()-customer[[#This Row],[LastLoginDate]]</f>
        <v>877</v>
      </c>
    </row>
    <row r="783" spans="1:13" x14ac:dyDescent="0.3">
      <c r="A783">
        <v>782</v>
      </c>
      <c r="B783" t="s">
        <v>796</v>
      </c>
      <c r="C783">
        <v>22</v>
      </c>
      <c r="D783" t="s">
        <v>11</v>
      </c>
      <c r="E783" t="s">
        <v>12</v>
      </c>
      <c r="F783" s="1">
        <v>45291</v>
      </c>
      <c r="G783" s="1">
        <v>45553</v>
      </c>
      <c r="H783">
        <v>264</v>
      </c>
      <c r="I783">
        <v>4.8</v>
      </c>
      <c r="J783">
        <v>1</v>
      </c>
      <c r="K783" t="str">
        <f>IF(customer[[#This Row],[IsChurned]]=1,"Churned","Active")</f>
        <v>Churned</v>
      </c>
      <c r="L783" t="str">
        <f>TEXT(customer[[#This Row],[SubscriptionDate]],"mmm-yyyy")</f>
        <v>Dec-2023</v>
      </c>
      <c r="M783" s="1">
        <f ca="1">TODAY()-customer[[#This Row],[LastLoginDate]]</f>
        <v>490</v>
      </c>
    </row>
    <row r="784" spans="1:13" x14ac:dyDescent="0.3">
      <c r="A784">
        <v>783</v>
      </c>
      <c r="B784" t="s">
        <v>797</v>
      </c>
      <c r="C784">
        <v>39</v>
      </c>
      <c r="D784" t="s">
        <v>14</v>
      </c>
      <c r="E784" t="s">
        <v>18</v>
      </c>
      <c r="F784" s="1">
        <v>44860</v>
      </c>
      <c r="G784" s="1">
        <v>45108</v>
      </c>
      <c r="H784">
        <v>149</v>
      </c>
      <c r="I784">
        <v>1.4</v>
      </c>
      <c r="J784">
        <v>0</v>
      </c>
      <c r="K784" t="str">
        <f>IF(customer[[#This Row],[IsChurned]]=1,"Churned","Active")</f>
        <v>Active</v>
      </c>
      <c r="L784" t="str">
        <f>TEXT(customer[[#This Row],[SubscriptionDate]],"mmm-yyyy")</f>
        <v>Oct-2022</v>
      </c>
      <c r="M784" s="1">
        <f ca="1">TODAY()-customer[[#This Row],[LastLoginDate]]</f>
        <v>935</v>
      </c>
    </row>
    <row r="785" spans="1:13" x14ac:dyDescent="0.3">
      <c r="A785">
        <v>784</v>
      </c>
      <c r="B785" t="s">
        <v>798</v>
      </c>
      <c r="C785">
        <v>52</v>
      </c>
      <c r="D785" t="s">
        <v>11</v>
      </c>
      <c r="E785" t="s">
        <v>15</v>
      </c>
      <c r="F785" s="1">
        <v>45393</v>
      </c>
      <c r="G785" s="1">
        <v>45705</v>
      </c>
      <c r="H785">
        <v>399</v>
      </c>
      <c r="I785">
        <v>2.7</v>
      </c>
      <c r="J785">
        <v>0</v>
      </c>
      <c r="K785" t="str">
        <f>IF(customer[[#This Row],[IsChurned]]=1,"Churned","Active")</f>
        <v>Active</v>
      </c>
      <c r="L785" t="str">
        <f>TEXT(customer[[#This Row],[SubscriptionDate]],"mmm-yyyy")</f>
        <v>Apr-2024</v>
      </c>
      <c r="M785" s="1">
        <f ca="1">TODAY()-customer[[#This Row],[LastLoginDate]]</f>
        <v>338</v>
      </c>
    </row>
    <row r="786" spans="1:13" x14ac:dyDescent="0.3">
      <c r="A786">
        <v>785</v>
      </c>
      <c r="B786" t="s">
        <v>799</v>
      </c>
      <c r="C786">
        <v>21</v>
      </c>
      <c r="D786" t="s">
        <v>11</v>
      </c>
      <c r="E786" t="s">
        <v>15</v>
      </c>
      <c r="F786" s="1">
        <v>44919</v>
      </c>
      <c r="G786" s="1">
        <v>45134</v>
      </c>
      <c r="H786">
        <v>20</v>
      </c>
      <c r="I786">
        <v>3.5</v>
      </c>
      <c r="J786">
        <v>0</v>
      </c>
      <c r="K786" t="str">
        <f>IF(customer[[#This Row],[IsChurned]]=1,"Churned","Active")</f>
        <v>Active</v>
      </c>
      <c r="L786" t="str">
        <f>TEXT(customer[[#This Row],[SubscriptionDate]],"mmm-yyyy")</f>
        <v>Dec-2022</v>
      </c>
      <c r="M786" s="1">
        <f ca="1">TODAY()-customer[[#This Row],[LastLoginDate]]</f>
        <v>909</v>
      </c>
    </row>
    <row r="787" spans="1:13" x14ac:dyDescent="0.3">
      <c r="A787">
        <v>786</v>
      </c>
      <c r="B787" t="s">
        <v>800</v>
      </c>
      <c r="C787">
        <v>47</v>
      </c>
      <c r="D787" t="s">
        <v>14</v>
      </c>
      <c r="E787" t="s">
        <v>15</v>
      </c>
      <c r="F787" s="1">
        <v>44772</v>
      </c>
      <c r="G787" s="1">
        <v>44868</v>
      </c>
      <c r="H787">
        <v>493</v>
      </c>
      <c r="I787">
        <v>4.2</v>
      </c>
      <c r="J787">
        <v>1</v>
      </c>
      <c r="K787" t="str">
        <f>IF(customer[[#This Row],[IsChurned]]=1,"Churned","Active")</f>
        <v>Churned</v>
      </c>
      <c r="L787" t="str">
        <f>TEXT(customer[[#This Row],[SubscriptionDate]],"mmm-yyyy")</f>
        <v>Jul-2022</v>
      </c>
      <c r="M787" s="1">
        <f ca="1">TODAY()-customer[[#This Row],[LastLoginDate]]</f>
        <v>1175</v>
      </c>
    </row>
    <row r="788" spans="1:13" x14ac:dyDescent="0.3">
      <c r="A788">
        <v>787</v>
      </c>
      <c r="B788" t="s">
        <v>801</v>
      </c>
      <c r="C788">
        <v>34</v>
      </c>
      <c r="D788" t="s">
        <v>14</v>
      </c>
      <c r="E788" t="s">
        <v>18</v>
      </c>
      <c r="F788" s="1">
        <v>45441</v>
      </c>
      <c r="G788" s="1">
        <v>45603</v>
      </c>
      <c r="H788">
        <v>331</v>
      </c>
      <c r="I788">
        <v>3.3</v>
      </c>
      <c r="J788">
        <v>1</v>
      </c>
      <c r="K788" t="str">
        <f>IF(customer[[#This Row],[IsChurned]]=1,"Churned","Active")</f>
        <v>Churned</v>
      </c>
      <c r="L788" t="str">
        <f>TEXT(customer[[#This Row],[SubscriptionDate]],"mmm-yyyy")</f>
        <v>May-2024</v>
      </c>
      <c r="M788" s="1">
        <f ca="1">TODAY()-customer[[#This Row],[LastLoginDate]]</f>
        <v>440</v>
      </c>
    </row>
    <row r="789" spans="1:13" x14ac:dyDescent="0.3">
      <c r="A789">
        <v>788</v>
      </c>
      <c r="B789" t="s">
        <v>802</v>
      </c>
      <c r="C789">
        <v>39</v>
      </c>
      <c r="D789" t="s">
        <v>11</v>
      </c>
      <c r="E789" t="s">
        <v>18</v>
      </c>
      <c r="F789" s="1">
        <v>45340</v>
      </c>
      <c r="G789" s="1">
        <v>45442</v>
      </c>
      <c r="H789">
        <v>385</v>
      </c>
      <c r="I789">
        <v>3.4</v>
      </c>
      <c r="J789">
        <v>1</v>
      </c>
      <c r="K789" t="str">
        <f>IF(customer[[#This Row],[IsChurned]]=1,"Churned","Active")</f>
        <v>Churned</v>
      </c>
      <c r="L789" t="str">
        <f>TEXT(customer[[#This Row],[SubscriptionDate]],"mmm-yyyy")</f>
        <v>Feb-2024</v>
      </c>
      <c r="M789" s="1">
        <f ca="1">TODAY()-customer[[#This Row],[LastLoginDate]]</f>
        <v>601</v>
      </c>
    </row>
    <row r="790" spans="1:13" x14ac:dyDescent="0.3">
      <c r="A790">
        <v>789</v>
      </c>
      <c r="B790" t="s">
        <v>803</v>
      </c>
      <c r="C790">
        <v>20</v>
      </c>
      <c r="D790" t="s">
        <v>11</v>
      </c>
      <c r="E790" t="s">
        <v>18</v>
      </c>
      <c r="F790" s="1">
        <v>45371</v>
      </c>
      <c r="G790" s="1">
        <v>45719</v>
      </c>
      <c r="H790">
        <v>261</v>
      </c>
      <c r="I790">
        <v>3.9</v>
      </c>
      <c r="J790">
        <v>0</v>
      </c>
      <c r="K790" t="str">
        <f>IF(customer[[#This Row],[IsChurned]]=1,"Churned","Active")</f>
        <v>Active</v>
      </c>
      <c r="L790" t="str">
        <f>TEXT(customer[[#This Row],[SubscriptionDate]],"mmm-yyyy")</f>
        <v>Mar-2024</v>
      </c>
      <c r="M790" s="1">
        <f ca="1">TODAY()-customer[[#This Row],[LastLoginDate]]</f>
        <v>324</v>
      </c>
    </row>
    <row r="791" spans="1:13" x14ac:dyDescent="0.3">
      <c r="A791">
        <v>790</v>
      </c>
      <c r="B791" t="s">
        <v>804</v>
      </c>
      <c r="C791">
        <v>48</v>
      </c>
      <c r="D791" t="s">
        <v>14</v>
      </c>
      <c r="E791" t="s">
        <v>18</v>
      </c>
      <c r="F791" s="1">
        <v>45255</v>
      </c>
      <c r="G791" s="1">
        <v>45333</v>
      </c>
      <c r="H791">
        <v>97</v>
      </c>
      <c r="I791">
        <v>1.6</v>
      </c>
      <c r="J791">
        <v>0</v>
      </c>
      <c r="K791" t="str">
        <f>IF(customer[[#This Row],[IsChurned]]=1,"Churned","Active")</f>
        <v>Active</v>
      </c>
      <c r="L791" t="str">
        <f>TEXT(customer[[#This Row],[SubscriptionDate]],"mmm-yyyy")</f>
        <v>Nov-2023</v>
      </c>
      <c r="M791" s="1">
        <f ca="1">TODAY()-customer[[#This Row],[LastLoginDate]]</f>
        <v>710</v>
      </c>
    </row>
    <row r="792" spans="1:13" x14ac:dyDescent="0.3">
      <c r="A792">
        <v>791</v>
      </c>
      <c r="B792" t="s">
        <v>805</v>
      </c>
      <c r="C792">
        <v>61</v>
      </c>
      <c r="D792" t="s">
        <v>14</v>
      </c>
      <c r="E792" t="s">
        <v>12</v>
      </c>
      <c r="F792" s="1">
        <v>44964</v>
      </c>
      <c r="G792" s="1">
        <v>45252</v>
      </c>
      <c r="H792">
        <v>119</v>
      </c>
      <c r="I792">
        <v>1.3</v>
      </c>
      <c r="J792">
        <v>0</v>
      </c>
      <c r="K792" t="str">
        <f>IF(customer[[#This Row],[IsChurned]]=1,"Churned","Active")</f>
        <v>Active</v>
      </c>
      <c r="L792" t="str">
        <f>TEXT(customer[[#This Row],[SubscriptionDate]],"mmm-yyyy")</f>
        <v>Feb-2023</v>
      </c>
      <c r="M792" s="1">
        <f ca="1">TODAY()-customer[[#This Row],[LastLoginDate]]</f>
        <v>791</v>
      </c>
    </row>
    <row r="793" spans="1:13" x14ac:dyDescent="0.3">
      <c r="A793">
        <v>792</v>
      </c>
      <c r="B793" t="s">
        <v>806</v>
      </c>
      <c r="C793">
        <v>47</v>
      </c>
      <c r="D793" t="s">
        <v>14</v>
      </c>
      <c r="E793" t="s">
        <v>18</v>
      </c>
      <c r="F793" s="1">
        <v>44931</v>
      </c>
      <c r="G793" s="1">
        <v>45111</v>
      </c>
      <c r="H793">
        <v>154</v>
      </c>
      <c r="I793">
        <v>1.1000000000000001</v>
      </c>
      <c r="J793">
        <v>0</v>
      </c>
      <c r="K793" t="str">
        <f>IF(customer[[#This Row],[IsChurned]]=1,"Churned","Active")</f>
        <v>Active</v>
      </c>
      <c r="L793" t="str">
        <f>TEXT(customer[[#This Row],[SubscriptionDate]],"mmm-yyyy")</f>
        <v>Jan-2023</v>
      </c>
      <c r="M793" s="1">
        <f ca="1">TODAY()-customer[[#This Row],[LastLoginDate]]</f>
        <v>932</v>
      </c>
    </row>
    <row r="794" spans="1:13" x14ac:dyDescent="0.3">
      <c r="A794">
        <v>793</v>
      </c>
      <c r="B794" t="s">
        <v>807</v>
      </c>
      <c r="C794">
        <v>47</v>
      </c>
      <c r="D794" t="s">
        <v>11</v>
      </c>
      <c r="E794" t="s">
        <v>18</v>
      </c>
      <c r="F794" s="1">
        <v>45166</v>
      </c>
      <c r="G794" s="1">
        <v>45494</v>
      </c>
      <c r="H794">
        <v>326</v>
      </c>
      <c r="I794">
        <v>1.9</v>
      </c>
      <c r="J794">
        <v>1</v>
      </c>
      <c r="K794" t="str">
        <f>IF(customer[[#This Row],[IsChurned]]=1,"Churned","Active")</f>
        <v>Churned</v>
      </c>
      <c r="L794" t="str">
        <f>TEXT(customer[[#This Row],[SubscriptionDate]],"mmm-yyyy")</f>
        <v>Aug-2023</v>
      </c>
      <c r="M794" s="1">
        <f ca="1">TODAY()-customer[[#This Row],[LastLoginDate]]</f>
        <v>549</v>
      </c>
    </row>
    <row r="795" spans="1:13" x14ac:dyDescent="0.3">
      <c r="A795">
        <v>794</v>
      </c>
      <c r="B795" t="s">
        <v>808</v>
      </c>
      <c r="C795">
        <v>47</v>
      </c>
      <c r="D795" t="s">
        <v>14</v>
      </c>
      <c r="E795" t="s">
        <v>12</v>
      </c>
      <c r="F795" s="1">
        <v>44603</v>
      </c>
      <c r="G795" s="1">
        <v>44953</v>
      </c>
      <c r="H795">
        <v>439</v>
      </c>
      <c r="I795">
        <v>2.6</v>
      </c>
      <c r="J795">
        <v>0</v>
      </c>
      <c r="K795" t="str">
        <f>IF(customer[[#This Row],[IsChurned]]=1,"Churned","Active")</f>
        <v>Active</v>
      </c>
      <c r="L795" t="str">
        <f>TEXT(customer[[#This Row],[SubscriptionDate]],"mmm-yyyy")</f>
        <v>Feb-2022</v>
      </c>
      <c r="M795" s="1">
        <f ca="1">TODAY()-customer[[#This Row],[LastLoginDate]]</f>
        <v>1090</v>
      </c>
    </row>
    <row r="796" spans="1:13" x14ac:dyDescent="0.3">
      <c r="A796">
        <v>795</v>
      </c>
      <c r="B796" t="s">
        <v>809</v>
      </c>
      <c r="C796">
        <v>23</v>
      </c>
      <c r="D796" t="s">
        <v>14</v>
      </c>
      <c r="E796" t="s">
        <v>18</v>
      </c>
      <c r="F796" s="1">
        <v>45162</v>
      </c>
      <c r="G796" s="1">
        <v>45368</v>
      </c>
      <c r="H796">
        <v>108</v>
      </c>
      <c r="I796">
        <v>3.4</v>
      </c>
      <c r="J796">
        <v>0</v>
      </c>
      <c r="K796" t="str">
        <f>IF(customer[[#This Row],[IsChurned]]=1,"Churned","Active")</f>
        <v>Active</v>
      </c>
      <c r="L796" t="str">
        <f>TEXT(customer[[#This Row],[SubscriptionDate]],"mmm-yyyy")</f>
        <v>Aug-2023</v>
      </c>
      <c r="M796" s="1">
        <f ca="1">TODAY()-customer[[#This Row],[LastLoginDate]]</f>
        <v>675</v>
      </c>
    </row>
    <row r="797" spans="1:13" x14ac:dyDescent="0.3">
      <c r="A797">
        <v>796</v>
      </c>
      <c r="B797" t="s">
        <v>810</v>
      </c>
      <c r="C797">
        <v>55</v>
      </c>
      <c r="D797" t="s">
        <v>14</v>
      </c>
      <c r="E797" t="s">
        <v>12</v>
      </c>
      <c r="F797" s="1">
        <v>44786</v>
      </c>
      <c r="G797" s="1">
        <v>44797</v>
      </c>
      <c r="H797">
        <v>239</v>
      </c>
      <c r="I797">
        <v>2.8</v>
      </c>
      <c r="J797">
        <v>0</v>
      </c>
      <c r="K797" t="str">
        <f>IF(customer[[#This Row],[IsChurned]]=1,"Churned","Active")</f>
        <v>Active</v>
      </c>
      <c r="L797" t="str">
        <f>TEXT(customer[[#This Row],[SubscriptionDate]],"mmm-yyyy")</f>
        <v>Aug-2022</v>
      </c>
      <c r="M797" s="1">
        <f ca="1">TODAY()-customer[[#This Row],[LastLoginDate]]</f>
        <v>1246</v>
      </c>
    </row>
    <row r="798" spans="1:13" x14ac:dyDescent="0.3">
      <c r="A798">
        <v>797</v>
      </c>
      <c r="B798" t="s">
        <v>811</v>
      </c>
      <c r="C798">
        <v>35</v>
      </c>
      <c r="D798" t="s">
        <v>11</v>
      </c>
      <c r="E798" t="s">
        <v>12</v>
      </c>
      <c r="F798" s="1">
        <v>44615</v>
      </c>
      <c r="G798" s="1">
        <v>44831</v>
      </c>
      <c r="H798">
        <v>52</v>
      </c>
      <c r="I798">
        <v>2.2999999999999998</v>
      </c>
      <c r="J798">
        <v>0</v>
      </c>
      <c r="K798" t="str">
        <f>IF(customer[[#This Row],[IsChurned]]=1,"Churned","Active")</f>
        <v>Active</v>
      </c>
      <c r="L798" t="str">
        <f>TEXT(customer[[#This Row],[SubscriptionDate]],"mmm-yyyy")</f>
        <v>Feb-2022</v>
      </c>
      <c r="M798" s="1">
        <f ca="1">TODAY()-customer[[#This Row],[LastLoginDate]]</f>
        <v>1212</v>
      </c>
    </row>
    <row r="799" spans="1:13" x14ac:dyDescent="0.3">
      <c r="A799">
        <v>798</v>
      </c>
      <c r="B799" t="s">
        <v>812</v>
      </c>
      <c r="C799">
        <v>63</v>
      </c>
      <c r="D799" t="s">
        <v>14</v>
      </c>
      <c r="E799" t="s">
        <v>12</v>
      </c>
      <c r="F799" s="1">
        <v>44731</v>
      </c>
      <c r="G799" s="1">
        <v>44968</v>
      </c>
      <c r="H799">
        <v>254</v>
      </c>
      <c r="I799">
        <v>4.5</v>
      </c>
      <c r="J799">
        <v>0</v>
      </c>
      <c r="K799" t="str">
        <f>IF(customer[[#This Row],[IsChurned]]=1,"Churned","Active")</f>
        <v>Active</v>
      </c>
      <c r="L799" t="str">
        <f>TEXT(customer[[#This Row],[SubscriptionDate]],"mmm-yyyy")</f>
        <v>Jun-2022</v>
      </c>
      <c r="M799" s="1">
        <f ca="1">TODAY()-customer[[#This Row],[LastLoginDate]]</f>
        <v>1075</v>
      </c>
    </row>
    <row r="800" spans="1:13" x14ac:dyDescent="0.3">
      <c r="A800">
        <v>799</v>
      </c>
      <c r="B800" t="s">
        <v>813</v>
      </c>
      <c r="C800">
        <v>59</v>
      </c>
      <c r="D800" t="s">
        <v>11</v>
      </c>
      <c r="E800" t="s">
        <v>12</v>
      </c>
      <c r="F800" s="1">
        <v>44724</v>
      </c>
      <c r="G800" s="1">
        <v>44788</v>
      </c>
      <c r="H800">
        <v>79</v>
      </c>
      <c r="I800">
        <v>2.6</v>
      </c>
      <c r="J800">
        <v>0</v>
      </c>
      <c r="K800" t="str">
        <f>IF(customer[[#This Row],[IsChurned]]=1,"Churned","Active")</f>
        <v>Active</v>
      </c>
      <c r="L800" t="str">
        <f>TEXT(customer[[#This Row],[SubscriptionDate]],"mmm-yyyy")</f>
        <v>Jun-2022</v>
      </c>
      <c r="M800" s="1">
        <f ca="1">TODAY()-customer[[#This Row],[LastLoginDate]]</f>
        <v>1255</v>
      </c>
    </row>
    <row r="801" spans="1:13" x14ac:dyDescent="0.3">
      <c r="A801">
        <v>800</v>
      </c>
      <c r="B801" t="s">
        <v>814</v>
      </c>
      <c r="C801">
        <v>34</v>
      </c>
      <c r="D801" t="s">
        <v>11</v>
      </c>
      <c r="E801" t="s">
        <v>12</v>
      </c>
      <c r="F801" s="1">
        <v>44573</v>
      </c>
      <c r="G801" s="1">
        <v>44770</v>
      </c>
      <c r="H801">
        <v>479</v>
      </c>
      <c r="I801">
        <v>2.4</v>
      </c>
      <c r="J801">
        <v>1</v>
      </c>
      <c r="K801" t="str">
        <f>IF(customer[[#This Row],[IsChurned]]=1,"Churned","Active")</f>
        <v>Churned</v>
      </c>
      <c r="L801" t="str">
        <f>TEXT(customer[[#This Row],[SubscriptionDate]],"mmm-yyyy")</f>
        <v>Jan-2022</v>
      </c>
      <c r="M801" s="1">
        <f ca="1">TODAY()-customer[[#This Row],[LastLoginDate]]</f>
        <v>1273</v>
      </c>
    </row>
    <row r="802" spans="1:13" x14ac:dyDescent="0.3">
      <c r="A802">
        <v>801</v>
      </c>
      <c r="B802" t="s">
        <v>815</v>
      </c>
      <c r="C802">
        <v>27</v>
      </c>
      <c r="D802" t="s">
        <v>11</v>
      </c>
      <c r="E802" t="s">
        <v>12</v>
      </c>
      <c r="F802" s="1">
        <v>45316</v>
      </c>
      <c r="G802" s="1">
        <v>45656</v>
      </c>
      <c r="H802">
        <v>23</v>
      </c>
      <c r="I802">
        <v>5</v>
      </c>
      <c r="J802">
        <v>0</v>
      </c>
      <c r="K802" t="str">
        <f>IF(customer[[#This Row],[IsChurned]]=1,"Churned","Active")</f>
        <v>Active</v>
      </c>
      <c r="L802" t="str">
        <f>TEXT(customer[[#This Row],[SubscriptionDate]],"mmm-yyyy")</f>
        <v>Jan-2024</v>
      </c>
      <c r="M802" s="1">
        <f ca="1">TODAY()-customer[[#This Row],[LastLoginDate]]</f>
        <v>387</v>
      </c>
    </row>
    <row r="803" spans="1:13" x14ac:dyDescent="0.3">
      <c r="A803">
        <v>802</v>
      </c>
      <c r="B803" t="s">
        <v>816</v>
      </c>
      <c r="C803">
        <v>54</v>
      </c>
      <c r="D803" t="s">
        <v>14</v>
      </c>
      <c r="E803" t="s">
        <v>12</v>
      </c>
      <c r="F803" s="1">
        <v>45200</v>
      </c>
      <c r="G803" s="1">
        <v>45333</v>
      </c>
      <c r="H803">
        <v>164</v>
      </c>
      <c r="I803">
        <v>4.0999999999999996</v>
      </c>
      <c r="J803">
        <v>0</v>
      </c>
      <c r="K803" t="str">
        <f>IF(customer[[#This Row],[IsChurned]]=1,"Churned","Active")</f>
        <v>Active</v>
      </c>
      <c r="L803" t="str">
        <f>TEXT(customer[[#This Row],[SubscriptionDate]],"mmm-yyyy")</f>
        <v>Oct-2023</v>
      </c>
      <c r="M803" s="1">
        <f ca="1">TODAY()-customer[[#This Row],[LastLoginDate]]</f>
        <v>710</v>
      </c>
    </row>
    <row r="804" spans="1:13" x14ac:dyDescent="0.3">
      <c r="A804">
        <v>803</v>
      </c>
      <c r="B804" t="s">
        <v>817</v>
      </c>
      <c r="C804">
        <v>62</v>
      </c>
      <c r="D804" t="s">
        <v>14</v>
      </c>
      <c r="E804" t="s">
        <v>15</v>
      </c>
      <c r="F804" s="1">
        <v>44768</v>
      </c>
      <c r="G804" s="1">
        <v>44773</v>
      </c>
      <c r="H804">
        <v>463</v>
      </c>
      <c r="I804">
        <v>3.1</v>
      </c>
      <c r="J804">
        <v>1</v>
      </c>
      <c r="K804" t="str">
        <f>IF(customer[[#This Row],[IsChurned]]=1,"Churned","Active")</f>
        <v>Churned</v>
      </c>
      <c r="L804" t="str">
        <f>TEXT(customer[[#This Row],[SubscriptionDate]],"mmm-yyyy")</f>
        <v>Jul-2022</v>
      </c>
      <c r="M804" s="1">
        <f ca="1">TODAY()-customer[[#This Row],[LastLoginDate]]</f>
        <v>1270</v>
      </c>
    </row>
    <row r="805" spans="1:13" x14ac:dyDescent="0.3">
      <c r="A805">
        <v>804</v>
      </c>
      <c r="B805" t="s">
        <v>818</v>
      </c>
      <c r="C805">
        <v>45</v>
      </c>
      <c r="D805" t="s">
        <v>14</v>
      </c>
      <c r="E805" t="s">
        <v>18</v>
      </c>
      <c r="F805" s="1">
        <v>45377</v>
      </c>
      <c r="G805" s="1">
        <v>45607</v>
      </c>
      <c r="H805">
        <v>89</v>
      </c>
      <c r="I805">
        <v>4</v>
      </c>
      <c r="J805">
        <v>1</v>
      </c>
      <c r="K805" t="str">
        <f>IF(customer[[#This Row],[IsChurned]]=1,"Churned","Active")</f>
        <v>Churned</v>
      </c>
      <c r="L805" t="str">
        <f>TEXT(customer[[#This Row],[SubscriptionDate]],"mmm-yyyy")</f>
        <v>Mar-2024</v>
      </c>
      <c r="M805" s="1">
        <f ca="1">TODAY()-customer[[#This Row],[LastLoginDate]]</f>
        <v>436</v>
      </c>
    </row>
    <row r="806" spans="1:13" x14ac:dyDescent="0.3">
      <c r="A806">
        <v>805</v>
      </c>
      <c r="B806" t="s">
        <v>819</v>
      </c>
      <c r="C806">
        <v>38</v>
      </c>
      <c r="D806" t="s">
        <v>11</v>
      </c>
      <c r="E806" t="s">
        <v>18</v>
      </c>
      <c r="F806" s="1">
        <v>45364</v>
      </c>
      <c r="G806" s="1">
        <v>45488</v>
      </c>
      <c r="H806">
        <v>397</v>
      </c>
      <c r="I806">
        <v>1.6</v>
      </c>
      <c r="J806">
        <v>1</v>
      </c>
      <c r="K806" t="str">
        <f>IF(customer[[#This Row],[IsChurned]]=1,"Churned","Active")</f>
        <v>Churned</v>
      </c>
      <c r="L806" t="str">
        <f>TEXT(customer[[#This Row],[SubscriptionDate]],"mmm-yyyy")</f>
        <v>Mar-2024</v>
      </c>
      <c r="M806" s="1">
        <f ca="1">TODAY()-customer[[#This Row],[LastLoginDate]]</f>
        <v>555</v>
      </c>
    </row>
    <row r="807" spans="1:13" x14ac:dyDescent="0.3">
      <c r="A807">
        <v>806</v>
      </c>
      <c r="B807" t="s">
        <v>820</v>
      </c>
      <c r="C807">
        <v>20</v>
      </c>
      <c r="D807" t="s">
        <v>14</v>
      </c>
      <c r="E807" t="s">
        <v>12</v>
      </c>
      <c r="F807" s="1">
        <v>44741</v>
      </c>
      <c r="G807" s="1">
        <v>44866</v>
      </c>
      <c r="H807">
        <v>350</v>
      </c>
      <c r="I807">
        <v>4.4000000000000004</v>
      </c>
      <c r="J807">
        <v>0</v>
      </c>
      <c r="K807" t="str">
        <f>IF(customer[[#This Row],[IsChurned]]=1,"Churned","Active")</f>
        <v>Active</v>
      </c>
      <c r="L807" t="str">
        <f>TEXT(customer[[#This Row],[SubscriptionDate]],"mmm-yyyy")</f>
        <v>Jun-2022</v>
      </c>
      <c r="M807" s="1">
        <f ca="1">TODAY()-customer[[#This Row],[LastLoginDate]]</f>
        <v>1177</v>
      </c>
    </row>
    <row r="808" spans="1:13" x14ac:dyDescent="0.3">
      <c r="A808">
        <v>807</v>
      </c>
      <c r="B808" t="s">
        <v>821</v>
      </c>
      <c r="C808">
        <v>60</v>
      </c>
      <c r="D808" t="s">
        <v>11</v>
      </c>
      <c r="E808" t="s">
        <v>15</v>
      </c>
      <c r="F808" s="1">
        <v>45095</v>
      </c>
      <c r="G808" s="1">
        <v>45179</v>
      </c>
      <c r="H808">
        <v>53</v>
      </c>
      <c r="I808">
        <v>3.8</v>
      </c>
      <c r="J808">
        <v>1</v>
      </c>
      <c r="K808" t="str">
        <f>IF(customer[[#This Row],[IsChurned]]=1,"Churned","Active")</f>
        <v>Churned</v>
      </c>
      <c r="L808" t="str">
        <f>TEXT(customer[[#This Row],[SubscriptionDate]],"mmm-yyyy")</f>
        <v>Jun-2023</v>
      </c>
      <c r="M808" s="1">
        <f ca="1">TODAY()-customer[[#This Row],[LastLoginDate]]</f>
        <v>864</v>
      </c>
    </row>
    <row r="809" spans="1:13" x14ac:dyDescent="0.3">
      <c r="A809">
        <v>808</v>
      </c>
      <c r="B809" t="s">
        <v>822</v>
      </c>
      <c r="C809">
        <v>38</v>
      </c>
      <c r="D809" t="s">
        <v>11</v>
      </c>
      <c r="E809" t="s">
        <v>15</v>
      </c>
      <c r="F809" s="1">
        <v>45213</v>
      </c>
      <c r="G809" s="1">
        <v>45509</v>
      </c>
      <c r="H809">
        <v>417</v>
      </c>
      <c r="I809">
        <v>3.1</v>
      </c>
      <c r="J809">
        <v>1</v>
      </c>
      <c r="K809" t="str">
        <f>IF(customer[[#This Row],[IsChurned]]=1,"Churned","Active")</f>
        <v>Churned</v>
      </c>
      <c r="L809" t="str">
        <f>TEXT(customer[[#This Row],[SubscriptionDate]],"mmm-yyyy")</f>
        <v>Oct-2023</v>
      </c>
      <c r="M809" s="1">
        <f ca="1">TODAY()-customer[[#This Row],[LastLoginDate]]</f>
        <v>534</v>
      </c>
    </row>
    <row r="810" spans="1:13" x14ac:dyDescent="0.3">
      <c r="A810">
        <v>809</v>
      </c>
      <c r="B810" t="s">
        <v>823</v>
      </c>
      <c r="C810">
        <v>24</v>
      </c>
      <c r="D810" t="s">
        <v>14</v>
      </c>
      <c r="E810" t="s">
        <v>12</v>
      </c>
      <c r="F810" s="1">
        <v>44779</v>
      </c>
      <c r="G810" s="1">
        <v>44804</v>
      </c>
      <c r="H810">
        <v>243</v>
      </c>
      <c r="I810">
        <v>3</v>
      </c>
      <c r="J810">
        <v>0</v>
      </c>
      <c r="K810" t="str">
        <f>IF(customer[[#This Row],[IsChurned]]=1,"Churned","Active")</f>
        <v>Active</v>
      </c>
      <c r="L810" t="str">
        <f>TEXT(customer[[#This Row],[SubscriptionDate]],"mmm-yyyy")</f>
        <v>Aug-2022</v>
      </c>
      <c r="M810" s="1">
        <f ca="1">TODAY()-customer[[#This Row],[LastLoginDate]]</f>
        <v>1239</v>
      </c>
    </row>
    <row r="811" spans="1:13" x14ac:dyDescent="0.3">
      <c r="A811">
        <v>810</v>
      </c>
      <c r="B811" t="s">
        <v>824</v>
      </c>
      <c r="C811">
        <v>57</v>
      </c>
      <c r="D811" t="s">
        <v>11</v>
      </c>
      <c r="E811" t="s">
        <v>18</v>
      </c>
      <c r="F811" s="1">
        <v>45264</v>
      </c>
      <c r="G811" s="1">
        <v>45612</v>
      </c>
      <c r="H811">
        <v>1</v>
      </c>
      <c r="I811">
        <v>3.5</v>
      </c>
      <c r="J811">
        <v>0</v>
      </c>
      <c r="K811" t="str">
        <f>IF(customer[[#This Row],[IsChurned]]=1,"Churned","Active")</f>
        <v>Active</v>
      </c>
      <c r="L811" t="str">
        <f>TEXT(customer[[#This Row],[SubscriptionDate]],"mmm-yyyy")</f>
        <v>Dec-2023</v>
      </c>
      <c r="M811" s="1">
        <f ca="1">TODAY()-customer[[#This Row],[LastLoginDate]]</f>
        <v>431</v>
      </c>
    </row>
    <row r="812" spans="1:13" x14ac:dyDescent="0.3">
      <c r="A812">
        <v>811</v>
      </c>
      <c r="B812" t="s">
        <v>825</v>
      </c>
      <c r="C812">
        <v>30</v>
      </c>
      <c r="D812" t="s">
        <v>14</v>
      </c>
      <c r="E812" t="s">
        <v>15</v>
      </c>
      <c r="F812" s="1">
        <v>44847</v>
      </c>
      <c r="G812" s="1">
        <v>45111</v>
      </c>
      <c r="H812">
        <v>112</v>
      </c>
      <c r="I812">
        <v>1</v>
      </c>
      <c r="J812">
        <v>0</v>
      </c>
      <c r="K812" t="str">
        <f>IF(customer[[#This Row],[IsChurned]]=1,"Churned","Active")</f>
        <v>Active</v>
      </c>
      <c r="L812" t="str">
        <f>TEXT(customer[[#This Row],[SubscriptionDate]],"mmm-yyyy")</f>
        <v>Oct-2022</v>
      </c>
      <c r="M812" s="1">
        <f ca="1">TODAY()-customer[[#This Row],[LastLoginDate]]</f>
        <v>932</v>
      </c>
    </row>
    <row r="813" spans="1:13" x14ac:dyDescent="0.3">
      <c r="A813">
        <v>812</v>
      </c>
      <c r="B813" t="s">
        <v>826</v>
      </c>
      <c r="C813">
        <v>30</v>
      </c>
      <c r="D813" t="s">
        <v>11</v>
      </c>
      <c r="E813" t="s">
        <v>18</v>
      </c>
      <c r="F813" s="1">
        <v>45327</v>
      </c>
      <c r="G813" s="1">
        <v>45518</v>
      </c>
      <c r="H813">
        <v>434</v>
      </c>
      <c r="I813">
        <v>3.8</v>
      </c>
      <c r="J813">
        <v>0</v>
      </c>
      <c r="K813" t="str">
        <f>IF(customer[[#This Row],[IsChurned]]=1,"Churned","Active")</f>
        <v>Active</v>
      </c>
      <c r="L813" t="str">
        <f>TEXT(customer[[#This Row],[SubscriptionDate]],"mmm-yyyy")</f>
        <v>Feb-2024</v>
      </c>
      <c r="M813" s="1">
        <f ca="1">TODAY()-customer[[#This Row],[LastLoginDate]]</f>
        <v>525</v>
      </c>
    </row>
    <row r="814" spans="1:13" x14ac:dyDescent="0.3">
      <c r="A814">
        <v>813</v>
      </c>
      <c r="B814" t="s">
        <v>827</v>
      </c>
      <c r="C814">
        <v>62</v>
      </c>
      <c r="D814" t="s">
        <v>14</v>
      </c>
      <c r="E814" t="s">
        <v>18</v>
      </c>
      <c r="F814" s="1">
        <v>45457</v>
      </c>
      <c r="G814" s="1">
        <v>45624</v>
      </c>
      <c r="H814">
        <v>158</v>
      </c>
      <c r="I814">
        <v>4.9000000000000004</v>
      </c>
      <c r="J814">
        <v>1</v>
      </c>
      <c r="K814" t="str">
        <f>IF(customer[[#This Row],[IsChurned]]=1,"Churned","Active")</f>
        <v>Churned</v>
      </c>
      <c r="L814" t="str">
        <f>TEXT(customer[[#This Row],[SubscriptionDate]],"mmm-yyyy")</f>
        <v>Jun-2024</v>
      </c>
      <c r="M814" s="1">
        <f ca="1">TODAY()-customer[[#This Row],[LastLoginDate]]</f>
        <v>419</v>
      </c>
    </row>
    <row r="815" spans="1:13" x14ac:dyDescent="0.3">
      <c r="A815">
        <v>814</v>
      </c>
      <c r="B815" t="s">
        <v>828</v>
      </c>
      <c r="C815">
        <v>46</v>
      </c>
      <c r="D815" t="s">
        <v>11</v>
      </c>
      <c r="E815" t="s">
        <v>12</v>
      </c>
      <c r="F815" s="1">
        <v>44680</v>
      </c>
      <c r="G815" s="1">
        <v>44859</v>
      </c>
      <c r="H815">
        <v>392</v>
      </c>
      <c r="I815">
        <v>1.7</v>
      </c>
      <c r="J815">
        <v>1</v>
      </c>
      <c r="K815" t="str">
        <f>IF(customer[[#This Row],[IsChurned]]=1,"Churned","Active")</f>
        <v>Churned</v>
      </c>
      <c r="L815" t="str">
        <f>TEXT(customer[[#This Row],[SubscriptionDate]],"mmm-yyyy")</f>
        <v>Apr-2022</v>
      </c>
      <c r="M815" s="1">
        <f ca="1">TODAY()-customer[[#This Row],[LastLoginDate]]</f>
        <v>1184</v>
      </c>
    </row>
    <row r="816" spans="1:13" x14ac:dyDescent="0.3">
      <c r="A816">
        <v>815</v>
      </c>
      <c r="B816" t="s">
        <v>829</v>
      </c>
      <c r="C816">
        <v>30</v>
      </c>
      <c r="D816" t="s">
        <v>14</v>
      </c>
      <c r="E816" t="s">
        <v>15</v>
      </c>
      <c r="F816" s="1">
        <v>44648</v>
      </c>
      <c r="G816" s="1">
        <v>44867</v>
      </c>
      <c r="H816">
        <v>500</v>
      </c>
      <c r="I816">
        <v>5</v>
      </c>
      <c r="J816">
        <v>1</v>
      </c>
      <c r="K816" t="str">
        <f>IF(customer[[#This Row],[IsChurned]]=1,"Churned","Active")</f>
        <v>Churned</v>
      </c>
      <c r="L816" t="str">
        <f>TEXT(customer[[#This Row],[SubscriptionDate]],"mmm-yyyy")</f>
        <v>Mar-2022</v>
      </c>
      <c r="M816" s="1">
        <f ca="1">TODAY()-customer[[#This Row],[LastLoginDate]]</f>
        <v>1176</v>
      </c>
    </row>
    <row r="817" spans="1:13" x14ac:dyDescent="0.3">
      <c r="A817">
        <v>816</v>
      </c>
      <c r="B817" t="s">
        <v>830</v>
      </c>
      <c r="C817">
        <v>49</v>
      </c>
      <c r="D817" t="s">
        <v>14</v>
      </c>
      <c r="E817" t="s">
        <v>18</v>
      </c>
      <c r="F817" s="1">
        <v>44661</v>
      </c>
      <c r="G817" s="1">
        <v>44756</v>
      </c>
      <c r="H817">
        <v>157</v>
      </c>
      <c r="I817">
        <v>2.8</v>
      </c>
      <c r="J817">
        <v>0</v>
      </c>
      <c r="K817" t="str">
        <f>IF(customer[[#This Row],[IsChurned]]=1,"Churned","Active")</f>
        <v>Active</v>
      </c>
      <c r="L817" t="str">
        <f>TEXT(customer[[#This Row],[SubscriptionDate]],"mmm-yyyy")</f>
        <v>Apr-2022</v>
      </c>
      <c r="M817" s="1">
        <f ca="1">TODAY()-customer[[#This Row],[LastLoginDate]]</f>
        <v>1287</v>
      </c>
    </row>
    <row r="818" spans="1:13" x14ac:dyDescent="0.3">
      <c r="A818">
        <v>817</v>
      </c>
      <c r="B818" t="s">
        <v>831</v>
      </c>
      <c r="C818">
        <v>29</v>
      </c>
      <c r="D818" t="s">
        <v>14</v>
      </c>
      <c r="E818" t="s">
        <v>18</v>
      </c>
      <c r="F818" s="1">
        <v>44861</v>
      </c>
      <c r="G818" s="1">
        <v>45202</v>
      </c>
      <c r="H818">
        <v>158</v>
      </c>
      <c r="I818">
        <v>2.5</v>
      </c>
      <c r="J818">
        <v>0</v>
      </c>
      <c r="K818" t="str">
        <f>IF(customer[[#This Row],[IsChurned]]=1,"Churned","Active")</f>
        <v>Active</v>
      </c>
      <c r="L818" t="str">
        <f>TEXT(customer[[#This Row],[SubscriptionDate]],"mmm-yyyy")</f>
        <v>Oct-2022</v>
      </c>
      <c r="M818" s="1">
        <f ca="1">TODAY()-customer[[#This Row],[LastLoginDate]]</f>
        <v>841</v>
      </c>
    </row>
    <row r="819" spans="1:13" x14ac:dyDescent="0.3">
      <c r="A819">
        <v>818</v>
      </c>
      <c r="B819" t="s">
        <v>832</v>
      </c>
      <c r="C819">
        <v>30</v>
      </c>
      <c r="D819" t="s">
        <v>11</v>
      </c>
      <c r="E819" t="s">
        <v>12</v>
      </c>
      <c r="F819" s="1">
        <v>45174</v>
      </c>
      <c r="G819" s="1">
        <v>45428</v>
      </c>
      <c r="H819">
        <v>200</v>
      </c>
      <c r="I819">
        <v>4.5999999999999996</v>
      </c>
      <c r="J819">
        <v>1</v>
      </c>
      <c r="K819" t="str">
        <f>IF(customer[[#This Row],[IsChurned]]=1,"Churned","Active")</f>
        <v>Churned</v>
      </c>
      <c r="L819" t="str">
        <f>TEXT(customer[[#This Row],[SubscriptionDate]],"mmm-yyyy")</f>
        <v>Sep-2023</v>
      </c>
      <c r="M819" s="1">
        <f ca="1">TODAY()-customer[[#This Row],[LastLoginDate]]</f>
        <v>615</v>
      </c>
    </row>
    <row r="820" spans="1:13" x14ac:dyDescent="0.3">
      <c r="A820">
        <v>819</v>
      </c>
      <c r="B820" t="s">
        <v>833</v>
      </c>
      <c r="C820">
        <v>28</v>
      </c>
      <c r="D820" t="s">
        <v>14</v>
      </c>
      <c r="E820" t="s">
        <v>15</v>
      </c>
      <c r="F820" s="1">
        <v>45058</v>
      </c>
      <c r="G820" s="1">
        <v>45241</v>
      </c>
      <c r="H820">
        <v>195</v>
      </c>
      <c r="I820">
        <v>2.1</v>
      </c>
      <c r="J820">
        <v>0</v>
      </c>
      <c r="K820" t="str">
        <f>IF(customer[[#This Row],[IsChurned]]=1,"Churned","Active")</f>
        <v>Active</v>
      </c>
      <c r="L820" t="str">
        <f>TEXT(customer[[#This Row],[SubscriptionDate]],"mmm-yyyy")</f>
        <v>May-2023</v>
      </c>
      <c r="M820" s="1">
        <f ca="1">TODAY()-customer[[#This Row],[LastLoginDate]]</f>
        <v>802</v>
      </c>
    </row>
    <row r="821" spans="1:13" x14ac:dyDescent="0.3">
      <c r="A821">
        <v>820</v>
      </c>
      <c r="B821" t="s">
        <v>834</v>
      </c>
      <c r="C821">
        <v>46</v>
      </c>
      <c r="D821" t="s">
        <v>14</v>
      </c>
      <c r="E821" t="s">
        <v>15</v>
      </c>
      <c r="F821" s="1">
        <v>44590</v>
      </c>
      <c r="G821" s="1">
        <v>44818</v>
      </c>
      <c r="H821">
        <v>340</v>
      </c>
      <c r="I821">
        <v>3</v>
      </c>
      <c r="J821">
        <v>0</v>
      </c>
      <c r="K821" t="str">
        <f>IF(customer[[#This Row],[IsChurned]]=1,"Churned","Active")</f>
        <v>Active</v>
      </c>
      <c r="L821" t="str">
        <f>TEXT(customer[[#This Row],[SubscriptionDate]],"mmm-yyyy")</f>
        <v>Jan-2022</v>
      </c>
      <c r="M821" s="1">
        <f ca="1">TODAY()-customer[[#This Row],[LastLoginDate]]</f>
        <v>1225</v>
      </c>
    </row>
    <row r="822" spans="1:13" x14ac:dyDescent="0.3">
      <c r="A822">
        <v>821</v>
      </c>
      <c r="B822" t="s">
        <v>835</v>
      </c>
      <c r="C822">
        <v>41</v>
      </c>
      <c r="D822" t="s">
        <v>14</v>
      </c>
      <c r="E822" t="s">
        <v>12</v>
      </c>
      <c r="F822" s="1">
        <v>44892</v>
      </c>
      <c r="G822" s="1">
        <v>45088</v>
      </c>
      <c r="H822">
        <v>18</v>
      </c>
      <c r="I822">
        <v>4.3</v>
      </c>
      <c r="J822">
        <v>0</v>
      </c>
      <c r="K822" t="str">
        <f>IF(customer[[#This Row],[IsChurned]]=1,"Churned","Active")</f>
        <v>Active</v>
      </c>
      <c r="L822" t="str">
        <f>TEXT(customer[[#This Row],[SubscriptionDate]],"mmm-yyyy")</f>
        <v>Nov-2022</v>
      </c>
      <c r="M822" s="1">
        <f ca="1">TODAY()-customer[[#This Row],[LastLoginDate]]</f>
        <v>955</v>
      </c>
    </row>
    <row r="823" spans="1:13" x14ac:dyDescent="0.3">
      <c r="A823">
        <v>822</v>
      </c>
      <c r="B823" t="s">
        <v>836</v>
      </c>
      <c r="C823">
        <v>49</v>
      </c>
      <c r="D823" t="s">
        <v>14</v>
      </c>
      <c r="E823" t="s">
        <v>15</v>
      </c>
      <c r="F823" s="1">
        <v>45036</v>
      </c>
      <c r="G823" s="1">
        <v>45080</v>
      </c>
      <c r="H823">
        <v>183</v>
      </c>
      <c r="I823">
        <v>3</v>
      </c>
      <c r="J823">
        <v>0</v>
      </c>
      <c r="K823" t="str">
        <f>IF(customer[[#This Row],[IsChurned]]=1,"Churned","Active")</f>
        <v>Active</v>
      </c>
      <c r="L823" t="str">
        <f>TEXT(customer[[#This Row],[SubscriptionDate]],"mmm-yyyy")</f>
        <v>Apr-2023</v>
      </c>
      <c r="M823" s="1">
        <f ca="1">TODAY()-customer[[#This Row],[LastLoginDate]]</f>
        <v>963</v>
      </c>
    </row>
    <row r="824" spans="1:13" x14ac:dyDescent="0.3">
      <c r="A824">
        <v>823</v>
      </c>
      <c r="B824" t="s">
        <v>837</v>
      </c>
      <c r="C824">
        <v>28</v>
      </c>
      <c r="D824" t="s">
        <v>14</v>
      </c>
      <c r="E824" t="s">
        <v>18</v>
      </c>
      <c r="F824" s="1">
        <v>44588</v>
      </c>
      <c r="G824" s="1">
        <v>44764</v>
      </c>
      <c r="H824">
        <v>101</v>
      </c>
      <c r="I824">
        <v>1.2</v>
      </c>
      <c r="J824">
        <v>1</v>
      </c>
      <c r="K824" t="str">
        <f>IF(customer[[#This Row],[IsChurned]]=1,"Churned","Active")</f>
        <v>Churned</v>
      </c>
      <c r="L824" t="str">
        <f>TEXT(customer[[#This Row],[SubscriptionDate]],"mmm-yyyy")</f>
        <v>Jan-2022</v>
      </c>
      <c r="M824" s="1">
        <f ca="1">TODAY()-customer[[#This Row],[LastLoginDate]]</f>
        <v>1279</v>
      </c>
    </row>
    <row r="825" spans="1:13" x14ac:dyDescent="0.3">
      <c r="A825">
        <v>824</v>
      </c>
      <c r="B825" t="s">
        <v>838</v>
      </c>
      <c r="C825">
        <v>31</v>
      </c>
      <c r="D825" t="s">
        <v>11</v>
      </c>
      <c r="E825" t="s">
        <v>12</v>
      </c>
      <c r="F825" s="1">
        <v>44634</v>
      </c>
      <c r="G825" s="1">
        <v>44762</v>
      </c>
      <c r="H825">
        <v>475</v>
      </c>
      <c r="I825">
        <v>3.4</v>
      </c>
      <c r="J825">
        <v>1</v>
      </c>
      <c r="K825" t="str">
        <f>IF(customer[[#This Row],[IsChurned]]=1,"Churned","Active")</f>
        <v>Churned</v>
      </c>
      <c r="L825" t="str">
        <f>TEXT(customer[[#This Row],[SubscriptionDate]],"mmm-yyyy")</f>
        <v>Mar-2022</v>
      </c>
      <c r="M825" s="1">
        <f ca="1">TODAY()-customer[[#This Row],[LastLoginDate]]</f>
        <v>1281</v>
      </c>
    </row>
    <row r="826" spans="1:13" x14ac:dyDescent="0.3">
      <c r="A826">
        <v>825</v>
      </c>
      <c r="B826" t="s">
        <v>839</v>
      </c>
      <c r="C826">
        <v>41</v>
      </c>
      <c r="D826" t="s">
        <v>11</v>
      </c>
      <c r="E826" t="s">
        <v>18</v>
      </c>
      <c r="F826" s="1">
        <v>45299</v>
      </c>
      <c r="G826" s="1">
        <v>45568</v>
      </c>
      <c r="H826">
        <v>482</v>
      </c>
      <c r="I826">
        <v>2.6</v>
      </c>
      <c r="J826">
        <v>1</v>
      </c>
      <c r="K826" t="str">
        <f>IF(customer[[#This Row],[IsChurned]]=1,"Churned","Active")</f>
        <v>Churned</v>
      </c>
      <c r="L826" t="str">
        <f>TEXT(customer[[#This Row],[SubscriptionDate]],"mmm-yyyy")</f>
        <v>Jan-2024</v>
      </c>
      <c r="M826" s="1">
        <f ca="1">TODAY()-customer[[#This Row],[LastLoginDate]]</f>
        <v>475</v>
      </c>
    </row>
    <row r="827" spans="1:13" x14ac:dyDescent="0.3">
      <c r="A827">
        <v>826</v>
      </c>
      <c r="B827" t="s">
        <v>840</v>
      </c>
      <c r="C827">
        <v>61</v>
      </c>
      <c r="D827" t="s">
        <v>11</v>
      </c>
      <c r="E827" t="s">
        <v>12</v>
      </c>
      <c r="F827" s="1">
        <v>45063</v>
      </c>
      <c r="G827" s="1">
        <v>45066</v>
      </c>
      <c r="H827">
        <v>192</v>
      </c>
      <c r="I827">
        <v>4.3</v>
      </c>
      <c r="J827">
        <v>1</v>
      </c>
      <c r="K827" t="str">
        <f>IF(customer[[#This Row],[IsChurned]]=1,"Churned","Active")</f>
        <v>Churned</v>
      </c>
      <c r="L827" t="str">
        <f>TEXT(customer[[#This Row],[SubscriptionDate]],"mmm-yyyy")</f>
        <v>May-2023</v>
      </c>
      <c r="M827" s="1">
        <f ca="1">TODAY()-customer[[#This Row],[LastLoginDate]]</f>
        <v>977</v>
      </c>
    </row>
    <row r="828" spans="1:13" x14ac:dyDescent="0.3">
      <c r="A828">
        <v>827</v>
      </c>
      <c r="B828" t="s">
        <v>841</v>
      </c>
      <c r="C828">
        <v>29</v>
      </c>
      <c r="D828" t="s">
        <v>14</v>
      </c>
      <c r="E828" t="s">
        <v>18</v>
      </c>
      <c r="F828" s="1">
        <v>44788</v>
      </c>
      <c r="G828" s="1">
        <v>44849</v>
      </c>
      <c r="H828">
        <v>315</v>
      </c>
      <c r="I828">
        <v>3.7</v>
      </c>
      <c r="J828">
        <v>1</v>
      </c>
      <c r="K828" t="str">
        <f>IF(customer[[#This Row],[IsChurned]]=1,"Churned","Active")</f>
        <v>Churned</v>
      </c>
      <c r="L828" t="str">
        <f>TEXT(customer[[#This Row],[SubscriptionDate]],"mmm-yyyy")</f>
        <v>Aug-2022</v>
      </c>
      <c r="M828" s="1">
        <f ca="1">TODAY()-customer[[#This Row],[LastLoginDate]]</f>
        <v>1194</v>
      </c>
    </row>
    <row r="829" spans="1:13" x14ac:dyDescent="0.3">
      <c r="A829">
        <v>828</v>
      </c>
      <c r="B829" t="s">
        <v>842</v>
      </c>
      <c r="C829">
        <v>55</v>
      </c>
      <c r="D829" t="s">
        <v>14</v>
      </c>
      <c r="E829" t="s">
        <v>15</v>
      </c>
      <c r="F829" s="1">
        <v>45331</v>
      </c>
      <c r="G829" s="1">
        <v>45660</v>
      </c>
      <c r="H829">
        <v>231</v>
      </c>
      <c r="I829">
        <v>4.7</v>
      </c>
      <c r="J829">
        <v>0</v>
      </c>
      <c r="K829" t="str">
        <f>IF(customer[[#This Row],[IsChurned]]=1,"Churned","Active")</f>
        <v>Active</v>
      </c>
      <c r="L829" t="str">
        <f>TEXT(customer[[#This Row],[SubscriptionDate]],"mmm-yyyy")</f>
        <v>Feb-2024</v>
      </c>
      <c r="M829" s="1">
        <f ca="1">TODAY()-customer[[#This Row],[LastLoginDate]]</f>
        <v>383</v>
      </c>
    </row>
    <row r="830" spans="1:13" x14ac:dyDescent="0.3">
      <c r="A830">
        <v>829</v>
      </c>
      <c r="B830" t="s">
        <v>843</v>
      </c>
      <c r="C830">
        <v>20</v>
      </c>
      <c r="D830" t="s">
        <v>11</v>
      </c>
      <c r="E830" t="s">
        <v>12</v>
      </c>
      <c r="F830" s="1">
        <v>44881</v>
      </c>
      <c r="G830" s="1">
        <v>44982</v>
      </c>
      <c r="H830">
        <v>370</v>
      </c>
      <c r="I830">
        <v>4</v>
      </c>
      <c r="J830">
        <v>0</v>
      </c>
      <c r="K830" t="str">
        <f>IF(customer[[#This Row],[IsChurned]]=1,"Churned","Active")</f>
        <v>Active</v>
      </c>
      <c r="L830" t="str">
        <f>TEXT(customer[[#This Row],[SubscriptionDate]],"mmm-yyyy")</f>
        <v>Nov-2022</v>
      </c>
      <c r="M830" s="1">
        <f ca="1">TODAY()-customer[[#This Row],[LastLoginDate]]</f>
        <v>1061</v>
      </c>
    </row>
    <row r="831" spans="1:13" x14ac:dyDescent="0.3">
      <c r="A831">
        <v>830</v>
      </c>
      <c r="B831" t="s">
        <v>844</v>
      </c>
      <c r="C831">
        <v>32</v>
      </c>
      <c r="D831" t="s">
        <v>14</v>
      </c>
      <c r="E831" t="s">
        <v>18</v>
      </c>
      <c r="F831" s="1">
        <v>45201</v>
      </c>
      <c r="G831" s="1">
        <v>45281</v>
      </c>
      <c r="H831">
        <v>327</v>
      </c>
      <c r="I831">
        <v>1.9</v>
      </c>
      <c r="J831">
        <v>0</v>
      </c>
      <c r="K831" t="str">
        <f>IF(customer[[#This Row],[IsChurned]]=1,"Churned","Active")</f>
        <v>Active</v>
      </c>
      <c r="L831" t="str">
        <f>TEXT(customer[[#This Row],[SubscriptionDate]],"mmm-yyyy")</f>
        <v>Oct-2023</v>
      </c>
      <c r="M831" s="1">
        <f ca="1">TODAY()-customer[[#This Row],[LastLoginDate]]</f>
        <v>762</v>
      </c>
    </row>
    <row r="832" spans="1:13" x14ac:dyDescent="0.3">
      <c r="A832">
        <v>831</v>
      </c>
      <c r="B832" t="s">
        <v>845</v>
      </c>
      <c r="C832">
        <v>59</v>
      </c>
      <c r="D832" t="s">
        <v>11</v>
      </c>
      <c r="E832" t="s">
        <v>12</v>
      </c>
      <c r="F832" s="1">
        <v>44847</v>
      </c>
      <c r="G832" s="1">
        <v>44869</v>
      </c>
      <c r="H832">
        <v>399</v>
      </c>
      <c r="I832">
        <v>1.1000000000000001</v>
      </c>
      <c r="J832">
        <v>1</v>
      </c>
      <c r="K832" t="str">
        <f>IF(customer[[#This Row],[IsChurned]]=1,"Churned","Active")</f>
        <v>Churned</v>
      </c>
      <c r="L832" t="str">
        <f>TEXT(customer[[#This Row],[SubscriptionDate]],"mmm-yyyy")</f>
        <v>Oct-2022</v>
      </c>
      <c r="M832" s="1">
        <f ca="1">TODAY()-customer[[#This Row],[LastLoginDate]]</f>
        <v>1174</v>
      </c>
    </row>
    <row r="833" spans="1:13" x14ac:dyDescent="0.3">
      <c r="A833">
        <v>832</v>
      </c>
      <c r="B833" t="s">
        <v>846</v>
      </c>
      <c r="C833">
        <v>18</v>
      </c>
      <c r="D833" t="s">
        <v>11</v>
      </c>
      <c r="E833" t="s">
        <v>12</v>
      </c>
      <c r="F833" s="1">
        <v>45197</v>
      </c>
      <c r="G833" s="1">
        <v>45371</v>
      </c>
      <c r="H833">
        <v>115</v>
      </c>
      <c r="I833">
        <v>3.2</v>
      </c>
      <c r="J833">
        <v>0</v>
      </c>
      <c r="K833" t="str">
        <f>IF(customer[[#This Row],[IsChurned]]=1,"Churned","Active")</f>
        <v>Active</v>
      </c>
      <c r="L833" t="str">
        <f>TEXT(customer[[#This Row],[SubscriptionDate]],"mmm-yyyy")</f>
        <v>Sep-2023</v>
      </c>
      <c r="M833" s="1">
        <f ca="1">TODAY()-customer[[#This Row],[LastLoginDate]]</f>
        <v>672</v>
      </c>
    </row>
    <row r="834" spans="1:13" x14ac:dyDescent="0.3">
      <c r="A834">
        <v>833</v>
      </c>
      <c r="B834" t="s">
        <v>847</v>
      </c>
      <c r="C834">
        <v>46</v>
      </c>
      <c r="D834" t="s">
        <v>14</v>
      </c>
      <c r="E834" t="s">
        <v>15</v>
      </c>
      <c r="F834" s="1">
        <v>45319</v>
      </c>
      <c r="G834" s="1">
        <v>45637</v>
      </c>
      <c r="H834">
        <v>351</v>
      </c>
      <c r="I834">
        <v>4.2</v>
      </c>
      <c r="J834">
        <v>0</v>
      </c>
      <c r="K834" t="str">
        <f>IF(customer[[#This Row],[IsChurned]]=1,"Churned","Active")</f>
        <v>Active</v>
      </c>
      <c r="L834" t="str">
        <f>TEXT(customer[[#This Row],[SubscriptionDate]],"mmm-yyyy")</f>
        <v>Jan-2024</v>
      </c>
      <c r="M834" s="1">
        <f ca="1">TODAY()-customer[[#This Row],[LastLoginDate]]</f>
        <v>406</v>
      </c>
    </row>
    <row r="835" spans="1:13" x14ac:dyDescent="0.3">
      <c r="A835">
        <v>834</v>
      </c>
      <c r="B835" t="s">
        <v>848</v>
      </c>
      <c r="C835">
        <v>20</v>
      </c>
      <c r="D835" t="s">
        <v>14</v>
      </c>
      <c r="E835" t="s">
        <v>18</v>
      </c>
      <c r="F835" s="1">
        <v>44646</v>
      </c>
      <c r="G835" s="1">
        <v>44796</v>
      </c>
      <c r="H835">
        <v>360</v>
      </c>
      <c r="I835">
        <v>3.2</v>
      </c>
      <c r="J835">
        <v>1</v>
      </c>
      <c r="K835" t="str">
        <f>IF(customer[[#This Row],[IsChurned]]=1,"Churned","Active")</f>
        <v>Churned</v>
      </c>
      <c r="L835" t="str">
        <f>TEXT(customer[[#This Row],[SubscriptionDate]],"mmm-yyyy")</f>
        <v>Mar-2022</v>
      </c>
      <c r="M835" s="1">
        <f ca="1">TODAY()-customer[[#This Row],[LastLoginDate]]</f>
        <v>1247</v>
      </c>
    </row>
    <row r="836" spans="1:13" x14ac:dyDescent="0.3">
      <c r="A836">
        <v>835</v>
      </c>
      <c r="B836" t="s">
        <v>849</v>
      </c>
      <c r="C836">
        <v>37</v>
      </c>
      <c r="D836" t="s">
        <v>14</v>
      </c>
      <c r="E836" t="s">
        <v>15</v>
      </c>
      <c r="F836" s="1">
        <v>44639</v>
      </c>
      <c r="G836" s="1">
        <v>44895</v>
      </c>
      <c r="H836">
        <v>198</v>
      </c>
      <c r="I836">
        <v>1.4</v>
      </c>
      <c r="J836">
        <v>0</v>
      </c>
      <c r="K836" t="str">
        <f>IF(customer[[#This Row],[IsChurned]]=1,"Churned","Active")</f>
        <v>Active</v>
      </c>
      <c r="L836" t="str">
        <f>TEXT(customer[[#This Row],[SubscriptionDate]],"mmm-yyyy")</f>
        <v>Mar-2022</v>
      </c>
      <c r="M836" s="1">
        <f ca="1">TODAY()-customer[[#This Row],[LastLoginDate]]</f>
        <v>1148</v>
      </c>
    </row>
    <row r="837" spans="1:13" x14ac:dyDescent="0.3">
      <c r="A837">
        <v>836</v>
      </c>
      <c r="B837" t="s">
        <v>850</v>
      </c>
      <c r="C837">
        <v>28</v>
      </c>
      <c r="D837" t="s">
        <v>14</v>
      </c>
      <c r="E837" t="s">
        <v>18</v>
      </c>
      <c r="F837" s="1">
        <v>44912</v>
      </c>
      <c r="G837" s="1">
        <v>45008</v>
      </c>
      <c r="H837">
        <v>150</v>
      </c>
      <c r="I837">
        <v>1.9</v>
      </c>
      <c r="J837">
        <v>0</v>
      </c>
      <c r="K837" t="str">
        <f>IF(customer[[#This Row],[IsChurned]]=1,"Churned","Active")</f>
        <v>Active</v>
      </c>
      <c r="L837" t="str">
        <f>TEXT(customer[[#This Row],[SubscriptionDate]],"mmm-yyyy")</f>
        <v>Dec-2022</v>
      </c>
      <c r="M837" s="1">
        <f ca="1">TODAY()-customer[[#This Row],[LastLoginDate]]</f>
        <v>1035</v>
      </c>
    </row>
    <row r="838" spans="1:13" x14ac:dyDescent="0.3">
      <c r="A838">
        <v>837</v>
      </c>
      <c r="B838" t="s">
        <v>851</v>
      </c>
      <c r="C838">
        <v>63</v>
      </c>
      <c r="D838" t="s">
        <v>11</v>
      </c>
      <c r="E838" t="s">
        <v>18</v>
      </c>
      <c r="F838" s="1">
        <v>44882</v>
      </c>
      <c r="G838" s="1">
        <v>45029</v>
      </c>
      <c r="H838">
        <v>280</v>
      </c>
      <c r="I838">
        <v>1.4</v>
      </c>
      <c r="J838">
        <v>1</v>
      </c>
      <c r="K838" t="str">
        <f>IF(customer[[#This Row],[IsChurned]]=1,"Churned","Active")</f>
        <v>Churned</v>
      </c>
      <c r="L838" t="str">
        <f>TEXT(customer[[#This Row],[SubscriptionDate]],"mmm-yyyy")</f>
        <v>Nov-2022</v>
      </c>
      <c r="M838" s="1">
        <f ca="1">TODAY()-customer[[#This Row],[LastLoginDate]]</f>
        <v>1014</v>
      </c>
    </row>
    <row r="839" spans="1:13" x14ac:dyDescent="0.3">
      <c r="A839">
        <v>838</v>
      </c>
      <c r="B839" t="s">
        <v>852</v>
      </c>
      <c r="C839">
        <v>58</v>
      </c>
      <c r="D839" t="s">
        <v>14</v>
      </c>
      <c r="E839" t="s">
        <v>12</v>
      </c>
      <c r="F839" s="1">
        <v>45094</v>
      </c>
      <c r="G839" s="1">
        <v>45362</v>
      </c>
      <c r="H839">
        <v>237</v>
      </c>
      <c r="I839">
        <v>1.1000000000000001</v>
      </c>
      <c r="J839">
        <v>0</v>
      </c>
      <c r="K839" t="str">
        <f>IF(customer[[#This Row],[IsChurned]]=1,"Churned","Active")</f>
        <v>Active</v>
      </c>
      <c r="L839" t="str">
        <f>TEXT(customer[[#This Row],[SubscriptionDate]],"mmm-yyyy")</f>
        <v>Jun-2023</v>
      </c>
      <c r="M839" s="1">
        <f ca="1">TODAY()-customer[[#This Row],[LastLoginDate]]</f>
        <v>681</v>
      </c>
    </row>
    <row r="840" spans="1:13" x14ac:dyDescent="0.3">
      <c r="A840">
        <v>839</v>
      </c>
      <c r="B840" t="s">
        <v>853</v>
      </c>
      <c r="C840">
        <v>22</v>
      </c>
      <c r="D840" t="s">
        <v>14</v>
      </c>
      <c r="E840" t="s">
        <v>18</v>
      </c>
      <c r="F840" s="1">
        <v>45024</v>
      </c>
      <c r="G840" s="1">
        <v>45376</v>
      </c>
      <c r="H840">
        <v>66</v>
      </c>
      <c r="I840">
        <v>1</v>
      </c>
      <c r="J840">
        <v>1</v>
      </c>
      <c r="K840" t="str">
        <f>IF(customer[[#This Row],[IsChurned]]=1,"Churned","Active")</f>
        <v>Churned</v>
      </c>
      <c r="L840" t="str">
        <f>TEXT(customer[[#This Row],[SubscriptionDate]],"mmm-yyyy")</f>
        <v>Apr-2023</v>
      </c>
      <c r="M840" s="1">
        <f ca="1">TODAY()-customer[[#This Row],[LastLoginDate]]</f>
        <v>667</v>
      </c>
    </row>
    <row r="841" spans="1:13" x14ac:dyDescent="0.3">
      <c r="A841">
        <v>840</v>
      </c>
      <c r="B841" t="s">
        <v>854</v>
      </c>
      <c r="C841">
        <v>33</v>
      </c>
      <c r="D841" t="s">
        <v>14</v>
      </c>
      <c r="E841" t="s">
        <v>18</v>
      </c>
      <c r="F841" s="1">
        <v>44575</v>
      </c>
      <c r="G841" s="1">
        <v>44622</v>
      </c>
      <c r="H841">
        <v>331</v>
      </c>
      <c r="I841">
        <v>1.3</v>
      </c>
      <c r="J841">
        <v>0</v>
      </c>
      <c r="K841" t="str">
        <f>IF(customer[[#This Row],[IsChurned]]=1,"Churned","Active")</f>
        <v>Active</v>
      </c>
      <c r="L841" t="str">
        <f>TEXT(customer[[#This Row],[SubscriptionDate]],"mmm-yyyy")</f>
        <v>Jan-2022</v>
      </c>
      <c r="M841" s="1">
        <f ca="1">TODAY()-customer[[#This Row],[LastLoginDate]]</f>
        <v>1421</v>
      </c>
    </row>
    <row r="842" spans="1:13" x14ac:dyDescent="0.3">
      <c r="A842">
        <v>841</v>
      </c>
      <c r="B842" t="s">
        <v>855</v>
      </c>
      <c r="C842">
        <v>24</v>
      </c>
      <c r="D842" t="s">
        <v>14</v>
      </c>
      <c r="E842" t="s">
        <v>15</v>
      </c>
      <c r="F842" s="1">
        <v>45151</v>
      </c>
      <c r="G842" s="1">
        <v>45386</v>
      </c>
      <c r="H842">
        <v>496</v>
      </c>
      <c r="I842">
        <v>5</v>
      </c>
      <c r="J842">
        <v>1</v>
      </c>
      <c r="K842" t="str">
        <f>IF(customer[[#This Row],[IsChurned]]=1,"Churned","Active")</f>
        <v>Churned</v>
      </c>
      <c r="L842" t="str">
        <f>TEXT(customer[[#This Row],[SubscriptionDate]],"mmm-yyyy")</f>
        <v>Aug-2023</v>
      </c>
      <c r="M842" s="1">
        <f ca="1">TODAY()-customer[[#This Row],[LastLoginDate]]</f>
        <v>657</v>
      </c>
    </row>
    <row r="843" spans="1:13" x14ac:dyDescent="0.3">
      <c r="A843">
        <v>842</v>
      </c>
      <c r="B843" t="s">
        <v>856</v>
      </c>
      <c r="C843">
        <v>20</v>
      </c>
      <c r="D843" t="s">
        <v>11</v>
      </c>
      <c r="E843" t="s">
        <v>12</v>
      </c>
      <c r="F843" s="1">
        <v>44656</v>
      </c>
      <c r="G843" s="1">
        <v>44693</v>
      </c>
      <c r="H843">
        <v>367</v>
      </c>
      <c r="I843">
        <v>2.5</v>
      </c>
      <c r="J843">
        <v>0</v>
      </c>
      <c r="K843" t="str">
        <f>IF(customer[[#This Row],[IsChurned]]=1,"Churned","Active")</f>
        <v>Active</v>
      </c>
      <c r="L843" t="str">
        <f>TEXT(customer[[#This Row],[SubscriptionDate]],"mmm-yyyy")</f>
        <v>Apr-2022</v>
      </c>
      <c r="M843" s="1">
        <f ca="1">TODAY()-customer[[#This Row],[LastLoginDate]]</f>
        <v>1350</v>
      </c>
    </row>
    <row r="844" spans="1:13" x14ac:dyDescent="0.3">
      <c r="A844">
        <v>843</v>
      </c>
      <c r="B844" t="s">
        <v>857</v>
      </c>
      <c r="C844">
        <v>63</v>
      </c>
      <c r="D844" t="s">
        <v>11</v>
      </c>
      <c r="E844" t="s">
        <v>15</v>
      </c>
      <c r="F844" s="1">
        <v>45444</v>
      </c>
      <c r="G844" s="1">
        <v>45598</v>
      </c>
      <c r="H844">
        <v>307</v>
      </c>
      <c r="I844">
        <v>3.2</v>
      </c>
      <c r="J844">
        <v>0</v>
      </c>
      <c r="K844" t="str">
        <f>IF(customer[[#This Row],[IsChurned]]=1,"Churned","Active")</f>
        <v>Active</v>
      </c>
      <c r="L844" t="str">
        <f>TEXT(customer[[#This Row],[SubscriptionDate]],"mmm-yyyy")</f>
        <v>Jun-2024</v>
      </c>
      <c r="M844" s="1">
        <f ca="1">TODAY()-customer[[#This Row],[LastLoginDate]]</f>
        <v>445</v>
      </c>
    </row>
    <row r="845" spans="1:13" x14ac:dyDescent="0.3">
      <c r="A845">
        <v>844</v>
      </c>
      <c r="B845" t="s">
        <v>858</v>
      </c>
      <c r="C845">
        <v>43</v>
      </c>
      <c r="D845" t="s">
        <v>11</v>
      </c>
      <c r="E845" t="s">
        <v>12</v>
      </c>
      <c r="F845" s="1">
        <v>44625</v>
      </c>
      <c r="G845" s="1">
        <v>44836</v>
      </c>
      <c r="H845">
        <v>89</v>
      </c>
      <c r="I845">
        <v>2.8</v>
      </c>
      <c r="J845">
        <v>1</v>
      </c>
      <c r="K845" t="str">
        <f>IF(customer[[#This Row],[IsChurned]]=1,"Churned","Active")</f>
        <v>Churned</v>
      </c>
      <c r="L845" t="str">
        <f>TEXT(customer[[#This Row],[SubscriptionDate]],"mmm-yyyy")</f>
        <v>Mar-2022</v>
      </c>
      <c r="M845" s="1">
        <f ca="1">TODAY()-customer[[#This Row],[LastLoginDate]]</f>
        <v>1207</v>
      </c>
    </row>
    <row r="846" spans="1:13" x14ac:dyDescent="0.3">
      <c r="A846">
        <v>845</v>
      </c>
      <c r="B846" t="s">
        <v>859</v>
      </c>
      <c r="C846">
        <v>18</v>
      </c>
      <c r="D846" t="s">
        <v>11</v>
      </c>
      <c r="E846" t="s">
        <v>18</v>
      </c>
      <c r="F846" s="1">
        <v>45401</v>
      </c>
      <c r="G846" s="1">
        <v>45402</v>
      </c>
      <c r="H846">
        <v>146</v>
      </c>
      <c r="I846">
        <v>2.6</v>
      </c>
      <c r="J846">
        <v>0</v>
      </c>
      <c r="K846" t="str">
        <f>IF(customer[[#This Row],[IsChurned]]=1,"Churned","Active")</f>
        <v>Active</v>
      </c>
      <c r="L846" t="str">
        <f>TEXT(customer[[#This Row],[SubscriptionDate]],"mmm-yyyy")</f>
        <v>Apr-2024</v>
      </c>
      <c r="M846" s="1">
        <f ca="1">TODAY()-customer[[#This Row],[LastLoginDate]]</f>
        <v>641</v>
      </c>
    </row>
    <row r="847" spans="1:13" x14ac:dyDescent="0.3">
      <c r="A847">
        <v>846</v>
      </c>
      <c r="B847" t="s">
        <v>860</v>
      </c>
      <c r="C847">
        <v>57</v>
      </c>
      <c r="D847" t="s">
        <v>14</v>
      </c>
      <c r="E847" t="s">
        <v>18</v>
      </c>
      <c r="F847" s="1">
        <v>45425</v>
      </c>
      <c r="G847" s="1">
        <v>45644</v>
      </c>
      <c r="H847">
        <v>348</v>
      </c>
      <c r="I847">
        <v>2.9</v>
      </c>
      <c r="J847">
        <v>1</v>
      </c>
      <c r="K847" t="str">
        <f>IF(customer[[#This Row],[IsChurned]]=1,"Churned","Active")</f>
        <v>Churned</v>
      </c>
      <c r="L847" t="str">
        <f>TEXT(customer[[#This Row],[SubscriptionDate]],"mmm-yyyy")</f>
        <v>May-2024</v>
      </c>
      <c r="M847" s="1">
        <f ca="1">TODAY()-customer[[#This Row],[LastLoginDate]]</f>
        <v>399</v>
      </c>
    </row>
    <row r="848" spans="1:13" x14ac:dyDescent="0.3">
      <c r="A848">
        <v>847</v>
      </c>
      <c r="B848" t="s">
        <v>861</v>
      </c>
      <c r="C848">
        <v>41</v>
      </c>
      <c r="D848" t="s">
        <v>14</v>
      </c>
      <c r="E848" t="s">
        <v>12</v>
      </c>
      <c r="F848" s="1">
        <v>44696</v>
      </c>
      <c r="G848" s="1">
        <v>44802</v>
      </c>
      <c r="H848">
        <v>444</v>
      </c>
      <c r="I848">
        <v>2.1</v>
      </c>
      <c r="J848">
        <v>0</v>
      </c>
      <c r="K848" t="str">
        <f>IF(customer[[#This Row],[IsChurned]]=1,"Churned","Active")</f>
        <v>Active</v>
      </c>
      <c r="L848" t="str">
        <f>TEXT(customer[[#This Row],[SubscriptionDate]],"mmm-yyyy")</f>
        <v>May-2022</v>
      </c>
      <c r="M848" s="1">
        <f ca="1">TODAY()-customer[[#This Row],[LastLoginDate]]</f>
        <v>1241</v>
      </c>
    </row>
    <row r="849" spans="1:13" x14ac:dyDescent="0.3">
      <c r="A849">
        <v>848</v>
      </c>
      <c r="B849" t="s">
        <v>862</v>
      </c>
      <c r="C849">
        <v>59</v>
      </c>
      <c r="D849" t="s">
        <v>14</v>
      </c>
      <c r="E849" t="s">
        <v>12</v>
      </c>
      <c r="F849" s="1">
        <v>44992</v>
      </c>
      <c r="G849" s="1">
        <v>45208</v>
      </c>
      <c r="H849">
        <v>56</v>
      </c>
      <c r="I849">
        <v>2.6</v>
      </c>
      <c r="J849">
        <v>0</v>
      </c>
      <c r="K849" t="str">
        <f>IF(customer[[#This Row],[IsChurned]]=1,"Churned","Active")</f>
        <v>Active</v>
      </c>
      <c r="L849" t="str">
        <f>TEXT(customer[[#This Row],[SubscriptionDate]],"mmm-yyyy")</f>
        <v>Mar-2023</v>
      </c>
      <c r="M849" s="1">
        <f ca="1">TODAY()-customer[[#This Row],[LastLoginDate]]</f>
        <v>835</v>
      </c>
    </row>
    <row r="850" spans="1:13" x14ac:dyDescent="0.3">
      <c r="A850">
        <v>849</v>
      </c>
      <c r="B850" t="s">
        <v>863</v>
      </c>
      <c r="C850">
        <v>33</v>
      </c>
      <c r="D850" t="s">
        <v>11</v>
      </c>
      <c r="E850" t="s">
        <v>15</v>
      </c>
      <c r="F850" s="1">
        <v>45282</v>
      </c>
      <c r="G850" s="1">
        <v>45427</v>
      </c>
      <c r="H850">
        <v>135</v>
      </c>
      <c r="I850">
        <v>3.6</v>
      </c>
      <c r="J850">
        <v>0</v>
      </c>
      <c r="K850" t="str">
        <f>IF(customer[[#This Row],[IsChurned]]=1,"Churned","Active")</f>
        <v>Active</v>
      </c>
      <c r="L850" t="str">
        <f>TEXT(customer[[#This Row],[SubscriptionDate]],"mmm-yyyy")</f>
        <v>Dec-2023</v>
      </c>
      <c r="M850" s="1">
        <f ca="1">TODAY()-customer[[#This Row],[LastLoginDate]]</f>
        <v>616</v>
      </c>
    </row>
    <row r="851" spans="1:13" x14ac:dyDescent="0.3">
      <c r="A851">
        <v>850</v>
      </c>
      <c r="B851" t="s">
        <v>864</v>
      </c>
      <c r="C851">
        <v>27</v>
      </c>
      <c r="D851" t="s">
        <v>14</v>
      </c>
      <c r="E851" t="s">
        <v>15</v>
      </c>
      <c r="F851" s="1">
        <v>45165</v>
      </c>
      <c r="G851" s="1">
        <v>45255</v>
      </c>
      <c r="H851">
        <v>47</v>
      </c>
      <c r="I851">
        <v>1.8</v>
      </c>
      <c r="J851">
        <v>0</v>
      </c>
      <c r="K851" t="str">
        <f>IF(customer[[#This Row],[IsChurned]]=1,"Churned","Active")</f>
        <v>Active</v>
      </c>
      <c r="L851" t="str">
        <f>TEXT(customer[[#This Row],[SubscriptionDate]],"mmm-yyyy")</f>
        <v>Aug-2023</v>
      </c>
      <c r="M851" s="1">
        <f ca="1">TODAY()-customer[[#This Row],[LastLoginDate]]</f>
        <v>788</v>
      </c>
    </row>
    <row r="852" spans="1:13" x14ac:dyDescent="0.3">
      <c r="A852">
        <v>851</v>
      </c>
      <c r="B852" t="s">
        <v>865</v>
      </c>
      <c r="C852">
        <v>24</v>
      </c>
      <c r="D852" t="s">
        <v>14</v>
      </c>
      <c r="E852" t="s">
        <v>15</v>
      </c>
      <c r="F852" s="1">
        <v>45336</v>
      </c>
      <c r="G852" s="1">
        <v>45639</v>
      </c>
      <c r="H852">
        <v>169</v>
      </c>
      <c r="I852">
        <v>3.3</v>
      </c>
      <c r="J852">
        <v>1</v>
      </c>
      <c r="K852" t="str">
        <f>IF(customer[[#This Row],[IsChurned]]=1,"Churned","Active")</f>
        <v>Churned</v>
      </c>
      <c r="L852" t="str">
        <f>TEXT(customer[[#This Row],[SubscriptionDate]],"mmm-yyyy")</f>
        <v>Feb-2024</v>
      </c>
      <c r="M852" s="1">
        <f ca="1">TODAY()-customer[[#This Row],[LastLoginDate]]</f>
        <v>404</v>
      </c>
    </row>
    <row r="853" spans="1:13" x14ac:dyDescent="0.3">
      <c r="A853">
        <v>852</v>
      </c>
      <c r="B853" t="s">
        <v>866</v>
      </c>
      <c r="C853">
        <v>43</v>
      </c>
      <c r="D853" t="s">
        <v>14</v>
      </c>
      <c r="E853" t="s">
        <v>12</v>
      </c>
      <c r="F853" s="1">
        <v>44602</v>
      </c>
      <c r="G853" s="1">
        <v>44891</v>
      </c>
      <c r="H853">
        <v>52</v>
      </c>
      <c r="I853">
        <v>3.5</v>
      </c>
      <c r="J853">
        <v>1</v>
      </c>
      <c r="K853" t="str">
        <f>IF(customer[[#This Row],[IsChurned]]=1,"Churned","Active")</f>
        <v>Churned</v>
      </c>
      <c r="L853" t="str">
        <f>TEXT(customer[[#This Row],[SubscriptionDate]],"mmm-yyyy")</f>
        <v>Feb-2022</v>
      </c>
      <c r="M853" s="1">
        <f ca="1">TODAY()-customer[[#This Row],[LastLoginDate]]</f>
        <v>1152</v>
      </c>
    </row>
    <row r="854" spans="1:13" x14ac:dyDescent="0.3">
      <c r="A854">
        <v>853</v>
      </c>
      <c r="B854" t="s">
        <v>867</v>
      </c>
      <c r="C854">
        <v>18</v>
      </c>
      <c r="D854" t="s">
        <v>14</v>
      </c>
      <c r="E854" t="s">
        <v>15</v>
      </c>
      <c r="F854" s="1">
        <v>45322</v>
      </c>
      <c r="G854" s="1">
        <v>45548</v>
      </c>
      <c r="H854">
        <v>58</v>
      </c>
      <c r="I854">
        <v>4.9000000000000004</v>
      </c>
      <c r="J854">
        <v>0</v>
      </c>
      <c r="K854" t="str">
        <f>IF(customer[[#This Row],[IsChurned]]=1,"Churned","Active")</f>
        <v>Active</v>
      </c>
      <c r="L854" t="str">
        <f>TEXT(customer[[#This Row],[SubscriptionDate]],"mmm-yyyy")</f>
        <v>Jan-2024</v>
      </c>
      <c r="M854" s="1">
        <f ca="1">TODAY()-customer[[#This Row],[LastLoginDate]]</f>
        <v>495</v>
      </c>
    </row>
    <row r="855" spans="1:13" x14ac:dyDescent="0.3">
      <c r="A855">
        <v>854</v>
      </c>
      <c r="B855" t="s">
        <v>868</v>
      </c>
      <c r="C855">
        <v>28</v>
      </c>
      <c r="D855" t="s">
        <v>11</v>
      </c>
      <c r="E855" t="s">
        <v>18</v>
      </c>
      <c r="F855" s="1">
        <v>44608</v>
      </c>
      <c r="G855" s="1">
        <v>44650</v>
      </c>
      <c r="H855">
        <v>83</v>
      </c>
      <c r="I855">
        <v>3.3</v>
      </c>
      <c r="J855">
        <v>1</v>
      </c>
      <c r="K855" t="str">
        <f>IF(customer[[#This Row],[IsChurned]]=1,"Churned","Active")</f>
        <v>Churned</v>
      </c>
      <c r="L855" t="str">
        <f>TEXT(customer[[#This Row],[SubscriptionDate]],"mmm-yyyy")</f>
        <v>Feb-2022</v>
      </c>
      <c r="M855" s="1">
        <f ca="1">TODAY()-customer[[#This Row],[LastLoginDate]]</f>
        <v>1393</v>
      </c>
    </row>
    <row r="856" spans="1:13" x14ac:dyDescent="0.3">
      <c r="A856">
        <v>855</v>
      </c>
      <c r="B856" t="s">
        <v>869</v>
      </c>
      <c r="C856">
        <v>24</v>
      </c>
      <c r="D856" t="s">
        <v>11</v>
      </c>
      <c r="E856" t="s">
        <v>15</v>
      </c>
      <c r="F856" s="1">
        <v>44888</v>
      </c>
      <c r="G856" s="1">
        <v>45153</v>
      </c>
      <c r="H856">
        <v>351</v>
      </c>
      <c r="I856">
        <v>1.6</v>
      </c>
      <c r="J856">
        <v>1</v>
      </c>
      <c r="K856" t="str">
        <f>IF(customer[[#This Row],[IsChurned]]=1,"Churned","Active")</f>
        <v>Churned</v>
      </c>
      <c r="L856" t="str">
        <f>TEXT(customer[[#This Row],[SubscriptionDate]],"mmm-yyyy")</f>
        <v>Nov-2022</v>
      </c>
      <c r="M856" s="1">
        <f ca="1">TODAY()-customer[[#This Row],[LastLoginDate]]</f>
        <v>890</v>
      </c>
    </row>
    <row r="857" spans="1:13" x14ac:dyDescent="0.3">
      <c r="A857">
        <v>856</v>
      </c>
      <c r="B857" t="s">
        <v>870</v>
      </c>
      <c r="C857">
        <v>50</v>
      </c>
      <c r="D857" t="s">
        <v>11</v>
      </c>
      <c r="E857" t="s">
        <v>12</v>
      </c>
      <c r="F857" s="1">
        <v>45011</v>
      </c>
      <c r="G857" s="1">
        <v>45097</v>
      </c>
      <c r="H857">
        <v>295</v>
      </c>
      <c r="I857">
        <v>2.2000000000000002</v>
      </c>
      <c r="J857">
        <v>1</v>
      </c>
      <c r="K857" t="str">
        <f>IF(customer[[#This Row],[IsChurned]]=1,"Churned","Active")</f>
        <v>Churned</v>
      </c>
      <c r="L857" t="str">
        <f>TEXT(customer[[#This Row],[SubscriptionDate]],"mmm-yyyy")</f>
        <v>Mar-2023</v>
      </c>
      <c r="M857" s="1">
        <f ca="1">TODAY()-customer[[#This Row],[LastLoginDate]]</f>
        <v>946</v>
      </c>
    </row>
    <row r="858" spans="1:13" x14ac:dyDescent="0.3">
      <c r="A858">
        <v>857</v>
      </c>
      <c r="B858" t="s">
        <v>871</v>
      </c>
      <c r="C858">
        <v>41</v>
      </c>
      <c r="D858" t="s">
        <v>11</v>
      </c>
      <c r="E858" t="s">
        <v>18</v>
      </c>
      <c r="F858" s="1">
        <v>44940</v>
      </c>
      <c r="G858" s="1">
        <v>45059</v>
      </c>
      <c r="H858">
        <v>410</v>
      </c>
      <c r="I858">
        <v>1.2</v>
      </c>
      <c r="J858">
        <v>1</v>
      </c>
      <c r="K858" t="str">
        <f>IF(customer[[#This Row],[IsChurned]]=1,"Churned","Active")</f>
        <v>Churned</v>
      </c>
      <c r="L858" t="str">
        <f>TEXT(customer[[#This Row],[SubscriptionDate]],"mmm-yyyy")</f>
        <v>Jan-2023</v>
      </c>
      <c r="M858" s="1">
        <f ca="1">TODAY()-customer[[#This Row],[LastLoginDate]]</f>
        <v>984</v>
      </c>
    </row>
    <row r="859" spans="1:13" x14ac:dyDescent="0.3">
      <c r="A859">
        <v>858</v>
      </c>
      <c r="B859" t="s">
        <v>872</v>
      </c>
      <c r="C859">
        <v>34</v>
      </c>
      <c r="D859" t="s">
        <v>11</v>
      </c>
      <c r="E859" t="s">
        <v>15</v>
      </c>
      <c r="F859" s="1">
        <v>45364</v>
      </c>
      <c r="G859" s="1">
        <v>45613</v>
      </c>
      <c r="H859">
        <v>201</v>
      </c>
      <c r="I859">
        <v>4.9000000000000004</v>
      </c>
      <c r="J859">
        <v>0</v>
      </c>
      <c r="K859" t="str">
        <f>IF(customer[[#This Row],[IsChurned]]=1,"Churned","Active")</f>
        <v>Active</v>
      </c>
      <c r="L859" t="str">
        <f>TEXT(customer[[#This Row],[SubscriptionDate]],"mmm-yyyy")</f>
        <v>Mar-2024</v>
      </c>
      <c r="M859" s="1">
        <f ca="1">TODAY()-customer[[#This Row],[LastLoginDate]]</f>
        <v>430</v>
      </c>
    </row>
    <row r="860" spans="1:13" x14ac:dyDescent="0.3">
      <c r="A860">
        <v>859</v>
      </c>
      <c r="B860" t="s">
        <v>873</v>
      </c>
      <c r="C860">
        <v>61</v>
      </c>
      <c r="D860" t="s">
        <v>11</v>
      </c>
      <c r="E860" t="s">
        <v>12</v>
      </c>
      <c r="F860" s="1">
        <v>44796</v>
      </c>
      <c r="G860" s="1">
        <v>44894</v>
      </c>
      <c r="H860">
        <v>190</v>
      </c>
      <c r="I860">
        <v>2.2999999999999998</v>
      </c>
      <c r="J860">
        <v>1</v>
      </c>
      <c r="K860" t="str">
        <f>IF(customer[[#This Row],[IsChurned]]=1,"Churned","Active")</f>
        <v>Churned</v>
      </c>
      <c r="L860" t="str">
        <f>TEXT(customer[[#This Row],[SubscriptionDate]],"mmm-yyyy")</f>
        <v>Aug-2022</v>
      </c>
      <c r="M860" s="1">
        <f ca="1">TODAY()-customer[[#This Row],[LastLoginDate]]</f>
        <v>1149</v>
      </c>
    </row>
    <row r="861" spans="1:13" x14ac:dyDescent="0.3">
      <c r="A861">
        <v>860</v>
      </c>
      <c r="B861" t="s">
        <v>874</v>
      </c>
      <c r="C861">
        <v>38</v>
      </c>
      <c r="D861" t="s">
        <v>14</v>
      </c>
      <c r="E861" t="s">
        <v>15</v>
      </c>
      <c r="F861" s="1">
        <v>45376</v>
      </c>
      <c r="G861" s="1">
        <v>45732</v>
      </c>
      <c r="H861">
        <v>268</v>
      </c>
      <c r="I861">
        <v>3.9</v>
      </c>
      <c r="J861">
        <v>1</v>
      </c>
      <c r="K861" t="str">
        <f>IF(customer[[#This Row],[IsChurned]]=1,"Churned","Active")</f>
        <v>Churned</v>
      </c>
      <c r="L861" t="str">
        <f>TEXT(customer[[#This Row],[SubscriptionDate]],"mmm-yyyy")</f>
        <v>Mar-2024</v>
      </c>
      <c r="M861" s="1">
        <f ca="1">TODAY()-customer[[#This Row],[LastLoginDate]]</f>
        <v>311</v>
      </c>
    </row>
    <row r="862" spans="1:13" x14ac:dyDescent="0.3">
      <c r="A862">
        <v>861</v>
      </c>
      <c r="B862" t="s">
        <v>875</v>
      </c>
      <c r="C862">
        <v>22</v>
      </c>
      <c r="D862" t="s">
        <v>14</v>
      </c>
      <c r="E862" t="s">
        <v>15</v>
      </c>
      <c r="F862" s="1">
        <v>45332</v>
      </c>
      <c r="G862" s="1">
        <v>45582</v>
      </c>
      <c r="H862">
        <v>226</v>
      </c>
      <c r="I862">
        <v>1.7</v>
      </c>
      <c r="J862">
        <v>0</v>
      </c>
      <c r="K862" t="str">
        <f>IF(customer[[#This Row],[IsChurned]]=1,"Churned","Active")</f>
        <v>Active</v>
      </c>
      <c r="L862" t="str">
        <f>TEXT(customer[[#This Row],[SubscriptionDate]],"mmm-yyyy")</f>
        <v>Feb-2024</v>
      </c>
      <c r="M862" s="1">
        <f ca="1">TODAY()-customer[[#This Row],[LastLoginDate]]</f>
        <v>461</v>
      </c>
    </row>
    <row r="863" spans="1:13" x14ac:dyDescent="0.3">
      <c r="A863">
        <v>862</v>
      </c>
      <c r="B863" t="s">
        <v>876</v>
      </c>
      <c r="C863">
        <v>18</v>
      </c>
      <c r="D863" t="s">
        <v>14</v>
      </c>
      <c r="E863" t="s">
        <v>12</v>
      </c>
      <c r="F863" s="1">
        <v>45339</v>
      </c>
      <c r="G863" s="1">
        <v>45409</v>
      </c>
      <c r="H863">
        <v>389</v>
      </c>
      <c r="I863">
        <v>1.3</v>
      </c>
      <c r="J863">
        <v>0</v>
      </c>
      <c r="K863" t="str">
        <f>IF(customer[[#This Row],[IsChurned]]=1,"Churned","Active")</f>
        <v>Active</v>
      </c>
      <c r="L863" t="str">
        <f>TEXT(customer[[#This Row],[SubscriptionDate]],"mmm-yyyy")</f>
        <v>Feb-2024</v>
      </c>
      <c r="M863" s="1">
        <f ca="1">TODAY()-customer[[#This Row],[LastLoginDate]]</f>
        <v>634</v>
      </c>
    </row>
    <row r="864" spans="1:13" x14ac:dyDescent="0.3">
      <c r="A864">
        <v>863</v>
      </c>
      <c r="B864" t="s">
        <v>877</v>
      </c>
      <c r="C864">
        <v>46</v>
      </c>
      <c r="D864" t="s">
        <v>14</v>
      </c>
      <c r="E864" t="s">
        <v>15</v>
      </c>
      <c r="F864" s="1">
        <v>45009</v>
      </c>
      <c r="G864" s="1">
        <v>45321</v>
      </c>
      <c r="H864">
        <v>451</v>
      </c>
      <c r="I864">
        <v>1.5</v>
      </c>
      <c r="J864">
        <v>1</v>
      </c>
      <c r="K864" t="str">
        <f>IF(customer[[#This Row],[IsChurned]]=1,"Churned","Active")</f>
        <v>Churned</v>
      </c>
      <c r="L864" t="str">
        <f>TEXT(customer[[#This Row],[SubscriptionDate]],"mmm-yyyy")</f>
        <v>Mar-2023</v>
      </c>
      <c r="M864" s="1">
        <f ca="1">TODAY()-customer[[#This Row],[LastLoginDate]]</f>
        <v>722</v>
      </c>
    </row>
    <row r="865" spans="1:13" x14ac:dyDescent="0.3">
      <c r="A865">
        <v>864</v>
      </c>
      <c r="B865" t="s">
        <v>878</v>
      </c>
      <c r="C865">
        <v>37</v>
      </c>
      <c r="D865" t="s">
        <v>11</v>
      </c>
      <c r="E865" t="s">
        <v>15</v>
      </c>
      <c r="F865" s="1">
        <v>44955</v>
      </c>
      <c r="G865" s="1">
        <v>45012</v>
      </c>
      <c r="H865">
        <v>450</v>
      </c>
      <c r="I865">
        <v>3.2</v>
      </c>
      <c r="J865">
        <v>1</v>
      </c>
      <c r="K865" t="str">
        <f>IF(customer[[#This Row],[IsChurned]]=1,"Churned","Active")</f>
        <v>Churned</v>
      </c>
      <c r="L865" t="str">
        <f>TEXT(customer[[#This Row],[SubscriptionDate]],"mmm-yyyy")</f>
        <v>Jan-2023</v>
      </c>
      <c r="M865" s="1">
        <f ca="1">TODAY()-customer[[#This Row],[LastLoginDate]]</f>
        <v>1031</v>
      </c>
    </row>
    <row r="866" spans="1:13" x14ac:dyDescent="0.3">
      <c r="A866">
        <v>865</v>
      </c>
      <c r="B866" t="s">
        <v>879</v>
      </c>
      <c r="C866">
        <v>57</v>
      </c>
      <c r="D866" t="s">
        <v>11</v>
      </c>
      <c r="E866" t="s">
        <v>18</v>
      </c>
      <c r="F866" s="1">
        <v>45414</v>
      </c>
      <c r="G866" s="1">
        <v>45723</v>
      </c>
      <c r="H866">
        <v>245</v>
      </c>
      <c r="I866">
        <v>1</v>
      </c>
      <c r="J866">
        <v>0</v>
      </c>
      <c r="K866" t="str">
        <f>IF(customer[[#This Row],[IsChurned]]=1,"Churned","Active")</f>
        <v>Active</v>
      </c>
      <c r="L866" t="str">
        <f>TEXT(customer[[#This Row],[SubscriptionDate]],"mmm-yyyy")</f>
        <v>May-2024</v>
      </c>
      <c r="M866" s="1">
        <f ca="1">TODAY()-customer[[#This Row],[LastLoginDate]]</f>
        <v>320</v>
      </c>
    </row>
    <row r="867" spans="1:13" x14ac:dyDescent="0.3">
      <c r="A867">
        <v>866</v>
      </c>
      <c r="B867" t="s">
        <v>880</v>
      </c>
      <c r="C867">
        <v>62</v>
      </c>
      <c r="D867" t="s">
        <v>14</v>
      </c>
      <c r="E867" t="s">
        <v>18</v>
      </c>
      <c r="F867" s="1">
        <v>45213</v>
      </c>
      <c r="G867" s="1">
        <v>45401</v>
      </c>
      <c r="H867">
        <v>35</v>
      </c>
      <c r="I867">
        <v>1.6</v>
      </c>
      <c r="J867">
        <v>0</v>
      </c>
      <c r="K867" t="str">
        <f>IF(customer[[#This Row],[IsChurned]]=1,"Churned","Active")</f>
        <v>Active</v>
      </c>
      <c r="L867" t="str">
        <f>TEXT(customer[[#This Row],[SubscriptionDate]],"mmm-yyyy")</f>
        <v>Oct-2023</v>
      </c>
      <c r="M867" s="1">
        <f ca="1">TODAY()-customer[[#This Row],[LastLoginDate]]</f>
        <v>642</v>
      </c>
    </row>
    <row r="868" spans="1:13" x14ac:dyDescent="0.3">
      <c r="A868">
        <v>867</v>
      </c>
      <c r="B868" t="s">
        <v>881</v>
      </c>
      <c r="C868">
        <v>56</v>
      </c>
      <c r="D868" t="s">
        <v>14</v>
      </c>
      <c r="E868" t="s">
        <v>15</v>
      </c>
      <c r="F868" s="1">
        <v>44724</v>
      </c>
      <c r="G868" s="1">
        <v>44960</v>
      </c>
      <c r="H868">
        <v>290</v>
      </c>
      <c r="I868">
        <v>3</v>
      </c>
      <c r="J868">
        <v>1</v>
      </c>
      <c r="K868" t="str">
        <f>IF(customer[[#This Row],[IsChurned]]=1,"Churned","Active")</f>
        <v>Churned</v>
      </c>
      <c r="L868" t="str">
        <f>TEXT(customer[[#This Row],[SubscriptionDate]],"mmm-yyyy")</f>
        <v>Jun-2022</v>
      </c>
      <c r="M868" s="1">
        <f ca="1">TODAY()-customer[[#This Row],[LastLoginDate]]</f>
        <v>1083</v>
      </c>
    </row>
    <row r="869" spans="1:13" x14ac:dyDescent="0.3">
      <c r="A869">
        <v>868</v>
      </c>
      <c r="B869" t="s">
        <v>882</v>
      </c>
      <c r="C869">
        <v>62</v>
      </c>
      <c r="D869" t="s">
        <v>14</v>
      </c>
      <c r="E869" t="s">
        <v>12</v>
      </c>
      <c r="F869" s="1">
        <v>45403</v>
      </c>
      <c r="G869" s="1">
        <v>45445</v>
      </c>
      <c r="H869">
        <v>368</v>
      </c>
      <c r="I869">
        <v>4</v>
      </c>
      <c r="J869">
        <v>1</v>
      </c>
      <c r="K869" t="str">
        <f>IF(customer[[#This Row],[IsChurned]]=1,"Churned","Active")</f>
        <v>Churned</v>
      </c>
      <c r="L869" t="str">
        <f>TEXT(customer[[#This Row],[SubscriptionDate]],"mmm-yyyy")</f>
        <v>Apr-2024</v>
      </c>
      <c r="M869" s="1">
        <f ca="1">TODAY()-customer[[#This Row],[LastLoginDate]]</f>
        <v>598</v>
      </c>
    </row>
    <row r="870" spans="1:13" x14ac:dyDescent="0.3">
      <c r="A870">
        <v>869</v>
      </c>
      <c r="B870" t="s">
        <v>883</v>
      </c>
      <c r="C870">
        <v>44</v>
      </c>
      <c r="D870" t="s">
        <v>11</v>
      </c>
      <c r="E870" t="s">
        <v>15</v>
      </c>
      <c r="F870" s="1">
        <v>44621</v>
      </c>
      <c r="G870" s="1">
        <v>44769</v>
      </c>
      <c r="H870">
        <v>402</v>
      </c>
      <c r="I870">
        <v>4.7</v>
      </c>
      <c r="J870">
        <v>0</v>
      </c>
      <c r="K870" t="str">
        <f>IF(customer[[#This Row],[IsChurned]]=1,"Churned","Active")</f>
        <v>Active</v>
      </c>
      <c r="L870" t="str">
        <f>TEXT(customer[[#This Row],[SubscriptionDate]],"mmm-yyyy")</f>
        <v>Mar-2022</v>
      </c>
      <c r="M870" s="1">
        <f ca="1">TODAY()-customer[[#This Row],[LastLoginDate]]</f>
        <v>1274</v>
      </c>
    </row>
    <row r="871" spans="1:13" x14ac:dyDescent="0.3">
      <c r="A871">
        <v>870</v>
      </c>
      <c r="B871" t="s">
        <v>884</v>
      </c>
      <c r="C871">
        <v>49</v>
      </c>
      <c r="D871" t="s">
        <v>14</v>
      </c>
      <c r="E871" t="s">
        <v>12</v>
      </c>
      <c r="F871" s="1">
        <v>44879</v>
      </c>
      <c r="G871" s="1">
        <v>45122</v>
      </c>
      <c r="H871">
        <v>258</v>
      </c>
      <c r="I871">
        <v>1.4</v>
      </c>
      <c r="J871">
        <v>1</v>
      </c>
      <c r="K871" t="str">
        <f>IF(customer[[#This Row],[IsChurned]]=1,"Churned","Active")</f>
        <v>Churned</v>
      </c>
      <c r="L871" t="str">
        <f>TEXT(customer[[#This Row],[SubscriptionDate]],"mmm-yyyy")</f>
        <v>Nov-2022</v>
      </c>
      <c r="M871" s="1">
        <f ca="1">TODAY()-customer[[#This Row],[LastLoginDate]]</f>
        <v>921</v>
      </c>
    </row>
    <row r="872" spans="1:13" x14ac:dyDescent="0.3">
      <c r="A872">
        <v>871</v>
      </c>
      <c r="B872" t="s">
        <v>885</v>
      </c>
      <c r="C872">
        <v>35</v>
      </c>
      <c r="D872" t="s">
        <v>11</v>
      </c>
      <c r="E872" t="s">
        <v>15</v>
      </c>
      <c r="F872" s="1">
        <v>45104</v>
      </c>
      <c r="G872" s="1">
        <v>45208</v>
      </c>
      <c r="H872">
        <v>478</v>
      </c>
      <c r="I872">
        <v>3.1</v>
      </c>
      <c r="J872">
        <v>1</v>
      </c>
      <c r="K872" t="str">
        <f>IF(customer[[#This Row],[IsChurned]]=1,"Churned","Active")</f>
        <v>Churned</v>
      </c>
      <c r="L872" t="str">
        <f>TEXT(customer[[#This Row],[SubscriptionDate]],"mmm-yyyy")</f>
        <v>Jun-2023</v>
      </c>
      <c r="M872" s="1">
        <f ca="1">TODAY()-customer[[#This Row],[LastLoginDate]]</f>
        <v>835</v>
      </c>
    </row>
    <row r="873" spans="1:13" x14ac:dyDescent="0.3">
      <c r="A873">
        <v>872</v>
      </c>
      <c r="B873" t="s">
        <v>886</v>
      </c>
      <c r="C873">
        <v>55</v>
      </c>
      <c r="D873" t="s">
        <v>14</v>
      </c>
      <c r="E873" t="s">
        <v>15</v>
      </c>
      <c r="F873" s="1">
        <v>44888</v>
      </c>
      <c r="G873" s="1">
        <v>45026</v>
      </c>
      <c r="H873">
        <v>155</v>
      </c>
      <c r="I873">
        <v>4.5999999999999996</v>
      </c>
      <c r="J873">
        <v>0</v>
      </c>
      <c r="K873" t="str">
        <f>IF(customer[[#This Row],[IsChurned]]=1,"Churned","Active")</f>
        <v>Active</v>
      </c>
      <c r="L873" t="str">
        <f>TEXT(customer[[#This Row],[SubscriptionDate]],"mmm-yyyy")</f>
        <v>Nov-2022</v>
      </c>
      <c r="M873" s="1">
        <f ca="1">TODAY()-customer[[#This Row],[LastLoginDate]]</f>
        <v>1017</v>
      </c>
    </row>
    <row r="874" spans="1:13" x14ac:dyDescent="0.3">
      <c r="A874">
        <v>873</v>
      </c>
      <c r="B874" t="s">
        <v>887</v>
      </c>
      <c r="C874">
        <v>46</v>
      </c>
      <c r="D874" t="s">
        <v>11</v>
      </c>
      <c r="E874" t="s">
        <v>12</v>
      </c>
      <c r="F874" s="1">
        <v>45109</v>
      </c>
      <c r="G874" s="1">
        <v>45258</v>
      </c>
      <c r="H874">
        <v>176</v>
      </c>
      <c r="I874">
        <v>3.6</v>
      </c>
      <c r="J874">
        <v>0</v>
      </c>
      <c r="K874" t="str">
        <f>IF(customer[[#This Row],[IsChurned]]=1,"Churned","Active")</f>
        <v>Active</v>
      </c>
      <c r="L874" t="str">
        <f>TEXT(customer[[#This Row],[SubscriptionDate]],"mmm-yyyy")</f>
        <v>Jul-2023</v>
      </c>
      <c r="M874" s="1">
        <f ca="1">TODAY()-customer[[#This Row],[LastLoginDate]]</f>
        <v>785</v>
      </c>
    </row>
    <row r="875" spans="1:13" x14ac:dyDescent="0.3">
      <c r="A875">
        <v>874</v>
      </c>
      <c r="B875" t="s">
        <v>888</v>
      </c>
      <c r="C875">
        <v>60</v>
      </c>
      <c r="D875" t="s">
        <v>11</v>
      </c>
      <c r="E875" t="s">
        <v>15</v>
      </c>
      <c r="F875" s="1">
        <v>45317</v>
      </c>
      <c r="G875" s="1">
        <v>45623</v>
      </c>
      <c r="H875">
        <v>247</v>
      </c>
      <c r="I875">
        <v>4.5</v>
      </c>
      <c r="J875">
        <v>0</v>
      </c>
      <c r="K875" t="str">
        <f>IF(customer[[#This Row],[IsChurned]]=1,"Churned","Active")</f>
        <v>Active</v>
      </c>
      <c r="L875" t="str">
        <f>TEXT(customer[[#This Row],[SubscriptionDate]],"mmm-yyyy")</f>
        <v>Jan-2024</v>
      </c>
      <c r="M875" s="1">
        <f ca="1">TODAY()-customer[[#This Row],[LastLoginDate]]</f>
        <v>420</v>
      </c>
    </row>
    <row r="876" spans="1:13" x14ac:dyDescent="0.3">
      <c r="A876">
        <v>875</v>
      </c>
      <c r="B876" t="s">
        <v>889</v>
      </c>
      <c r="C876">
        <v>27</v>
      </c>
      <c r="D876" t="s">
        <v>14</v>
      </c>
      <c r="E876" t="s">
        <v>18</v>
      </c>
      <c r="F876" s="1">
        <v>44710</v>
      </c>
      <c r="G876" s="1">
        <v>44995</v>
      </c>
      <c r="H876">
        <v>235</v>
      </c>
      <c r="I876">
        <v>3.4</v>
      </c>
      <c r="J876">
        <v>1</v>
      </c>
      <c r="K876" t="str">
        <f>IF(customer[[#This Row],[IsChurned]]=1,"Churned","Active")</f>
        <v>Churned</v>
      </c>
      <c r="L876" t="str">
        <f>TEXT(customer[[#This Row],[SubscriptionDate]],"mmm-yyyy")</f>
        <v>May-2022</v>
      </c>
      <c r="M876" s="1">
        <f ca="1">TODAY()-customer[[#This Row],[LastLoginDate]]</f>
        <v>1048</v>
      </c>
    </row>
    <row r="877" spans="1:13" x14ac:dyDescent="0.3">
      <c r="A877">
        <v>876</v>
      </c>
      <c r="B877" t="s">
        <v>890</v>
      </c>
      <c r="C877">
        <v>57</v>
      </c>
      <c r="D877" t="s">
        <v>14</v>
      </c>
      <c r="E877" t="s">
        <v>18</v>
      </c>
      <c r="F877" s="1">
        <v>44760</v>
      </c>
      <c r="G877" s="1">
        <v>45107</v>
      </c>
      <c r="H877">
        <v>74</v>
      </c>
      <c r="I877">
        <v>4.7</v>
      </c>
      <c r="J877">
        <v>1</v>
      </c>
      <c r="K877" t="str">
        <f>IF(customer[[#This Row],[IsChurned]]=1,"Churned","Active")</f>
        <v>Churned</v>
      </c>
      <c r="L877" t="str">
        <f>TEXT(customer[[#This Row],[SubscriptionDate]],"mmm-yyyy")</f>
        <v>Jul-2022</v>
      </c>
      <c r="M877" s="1">
        <f ca="1">TODAY()-customer[[#This Row],[LastLoginDate]]</f>
        <v>936</v>
      </c>
    </row>
    <row r="878" spans="1:13" x14ac:dyDescent="0.3">
      <c r="A878">
        <v>877</v>
      </c>
      <c r="B878" t="s">
        <v>891</v>
      </c>
      <c r="C878">
        <v>65</v>
      </c>
      <c r="D878" t="s">
        <v>11</v>
      </c>
      <c r="E878" t="s">
        <v>12</v>
      </c>
      <c r="F878" s="1">
        <v>44995</v>
      </c>
      <c r="G878" s="1">
        <v>45280</v>
      </c>
      <c r="H878">
        <v>436</v>
      </c>
      <c r="I878">
        <v>4.5999999999999996</v>
      </c>
      <c r="J878">
        <v>1</v>
      </c>
      <c r="K878" t="str">
        <f>IF(customer[[#This Row],[IsChurned]]=1,"Churned","Active")</f>
        <v>Churned</v>
      </c>
      <c r="L878" t="str">
        <f>TEXT(customer[[#This Row],[SubscriptionDate]],"mmm-yyyy")</f>
        <v>Mar-2023</v>
      </c>
      <c r="M878" s="1">
        <f ca="1">TODAY()-customer[[#This Row],[LastLoginDate]]</f>
        <v>763</v>
      </c>
    </row>
    <row r="879" spans="1:13" x14ac:dyDescent="0.3">
      <c r="A879">
        <v>878</v>
      </c>
      <c r="B879" t="s">
        <v>892</v>
      </c>
      <c r="C879">
        <v>62</v>
      </c>
      <c r="D879" t="s">
        <v>11</v>
      </c>
      <c r="E879" t="s">
        <v>15</v>
      </c>
      <c r="F879" s="1">
        <v>45306</v>
      </c>
      <c r="G879" s="1">
        <v>45565</v>
      </c>
      <c r="H879">
        <v>175</v>
      </c>
      <c r="I879">
        <v>4</v>
      </c>
      <c r="J879">
        <v>0</v>
      </c>
      <c r="K879" t="str">
        <f>IF(customer[[#This Row],[IsChurned]]=1,"Churned","Active")</f>
        <v>Active</v>
      </c>
      <c r="L879" t="str">
        <f>TEXT(customer[[#This Row],[SubscriptionDate]],"mmm-yyyy")</f>
        <v>Jan-2024</v>
      </c>
      <c r="M879" s="1">
        <f ca="1">TODAY()-customer[[#This Row],[LastLoginDate]]</f>
        <v>478</v>
      </c>
    </row>
    <row r="880" spans="1:13" x14ac:dyDescent="0.3">
      <c r="A880">
        <v>879</v>
      </c>
      <c r="B880" t="s">
        <v>893</v>
      </c>
      <c r="C880">
        <v>27</v>
      </c>
      <c r="D880" t="s">
        <v>14</v>
      </c>
      <c r="E880" t="s">
        <v>18</v>
      </c>
      <c r="F880" s="1">
        <v>45095</v>
      </c>
      <c r="G880" s="1">
        <v>45154</v>
      </c>
      <c r="H880">
        <v>224</v>
      </c>
      <c r="I880">
        <v>4.7</v>
      </c>
      <c r="J880">
        <v>1</v>
      </c>
      <c r="K880" t="str">
        <f>IF(customer[[#This Row],[IsChurned]]=1,"Churned","Active")</f>
        <v>Churned</v>
      </c>
      <c r="L880" t="str">
        <f>TEXT(customer[[#This Row],[SubscriptionDate]],"mmm-yyyy")</f>
        <v>Jun-2023</v>
      </c>
      <c r="M880" s="1">
        <f ca="1">TODAY()-customer[[#This Row],[LastLoginDate]]</f>
        <v>889</v>
      </c>
    </row>
    <row r="881" spans="1:13" x14ac:dyDescent="0.3">
      <c r="A881">
        <v>880</v>
      </c>
      <c r="B881" t="s">
        <v>894</v>
      </c>
      <c r="C881">
        <v>51</v>
      </c>
      <c r="D881" t="s">
        <v>14</v>
      </c>
      <c r="E881" t="s">
        <v>15</v>
      </c>
      <c r="F881" s="1">
        <v>45382</v>
      </c>
      <c r="G881" s="1">
        <v>45638</v>
      </c>
      <c r="H881">
        <v>385</v>
      </c>
      <c r="I881">
        <v>3</v>
      </c>
      <c r="J881">
        <v>1</v>
      </c>
      <c r="K881" t="str">
        <f>IF(customer[[#This Row],[IsChurned]]=1,"Churned","Active")</f>
        <v>Churned</v>
      </c>
      <c r="L881" t="str">
        <f>TEXT(customer[[#This Row],[SubscriptionDate]],"mmm-yyyy")</f>
        <v>Mar-2024</v>
      </c>
      <c r="M881" s="1">
        <f ca="1">TODAY()-customer[[#This Row],[LastLoginDate]]</f>
        <v>405</v>
      </c>
    </row>
    <row r="882" spans="1:13" x14ac:dyDescent="0.3">
      <c r="A882">
        <v>881</v>
      </c>
      <c r="B882" t="s">
        <v>895</v>
      </c>
      <c r="C882">
        <v>54</v>
      </c>
      <c r="D882" t="s">
        <v>11</v>
      </c>
      <c r="E882" t="s">
        <v>12</v>
      </c>
      <c r="F882" s="1">
        <v>44663</v>
      </c>
      <c r="G882" s="1">
        <v>44915</v>
      </c>
      <c r="H882">
        <v>429</v>
      </c>
      <c r="I882">
        <v>1.3</v>
      </c>
      <c r="J882">
        <v>1</v>
      </c>
      <c r="K882" t="str">
        <f>IF(customer[[#This Row],[IsChurned]]=1,"Churned","Active")</f>
        <v>Churned</v>
      </c>
      <c r="L882" t="str">
        <f>TEXT(customer[[#This Row],[SubscriptionDate]],"mmm-yyyy")</f>
        <v>Apr-2022</v>
      </c>
      <c r="M882" s="1">
        <f ca="1">TODAY()-customer[[#This Row],[LastLoginDate]]</f>
        <v>1128</v>
      </c>
    </row>
    <row r="883" spans="1:13" x14ac:dyDescent="0.3">
      <c r="A883">
        <v>882</v>
      </c>
      <c r="B883" t="s">
        <v>896</v>
      </c>
      <c r="C883">
        <v>51</v>
      </c>
      <c r="D883" t="s">
        <v>14</v>
      </c>
      <c r="E883" t="s">
        <v>15</v>
      </c>
      <c r="F883" s="1">
        <v>44908</v>
      </c>
      <c r="G883" s="1">
        <v>45079</v>
      </c>
      <c r="H883">
        <v>203</v>
      </c>
      <c r="I883">
        <v>4.4000000000000004</v>
      </c>
      <c r="J883">
        <v>1</v>
      </c>
      <c r="K883" t="str">
        <f>IF(customer[[#This Row],[IsChurned]]=1,"Churned","Active")</f>
        <v>Churned</v>
      </c>
      <c r="L883" t="str">
        <f>TEXT(customer[[#This Row],[SubscriptionDate]],"mmm-yyyy")</f>
        <v>Dec-2022</v>
      </c>
      <c r="M883" s="1">
        <f ca="1">TODAY()-customer[[#This Row],[LastLoginDate]]</f>
        <v>964</v>
      </c>
    </row>
    <row r="884" spans="1:13" x14ac:dyDescent="0.3">
      <c r="A884">
        <v>883</v>
      </c>
      <c r="B884" t="s">
        <v>897</v>
      </c>
      <c r="C884">
        <v>33</v>
      </c>
      <c r="D884" t="s">
        <v>11</v>
      </c>
      <c r="E884" t="s">
        <v>15</v>
      </c>
      <c r="F884" s="1">
        <v>45394</v>
      </c>
      <c r="G884" s="1">
        <v>45528</v>
      </c>
      <c r="H884">
        <v>21</v>
      </c>
      <c r="I884">
        <v>4.4000000000000004</v>
      </c>
      <c r="J884">
        <v>1</v>
      </c>
      <c r="K884" t="str">
        <f>IF(customer[[#This Row],[IsChurned]]=1,"Churned","Active")</f>
        <v>Churned</v>
      </c>
      <c r="L884" t="str">
        <f>TEXT(customer[[#This Row],[SubscriptionDate]],"mmm-yyyy")</f>
        <v>Apr-2024</v>
      </c>
      <c r="M884" s="1">
        <f ca="1">TODAY()-customer[[#This Row],[LastLoginDate]]</f>
        <v>515</v>
      </c>
    </row>
    <row r="885" spans="1:13" x14ac:dyDescent="0.3">
      <c r="A885">
        <v>884</v>
      </c>
      <c r="B885" t="s">
        <v>898</v>
      </c>
      <c r="C885">
        <v>35</v>
      </c>
      <c r="D885" t="s">
        <v>11</v>
      </c>
      <c r="E885" t="s">
        <v>18</v>
      </c>
      <c r="F885" s="1">
        <v>45446</v>
      </c>
      <c r="G885" s="1">
        <v>45464</v>
      </c>
      <c r="H885">
        <v>228</v>
      </c>
      <c r="I885">
        <v>3.7</v>
      </c>
      <c r="J885">
        <v>0</v>
      </c>
      <c r="K885" t="str">
        <f>IF(customer[[#This Row],[IsChurned]]=1,"Churned","Active")</f>
        <v>Active</v>
      </c>
      <c r="L885" t="str">
        <f>TEXT(customer[[#This Row],[SubscriptionDate]],"mmm-yyyy")</f>
        <v>Jun-2024</v>
      </c>
      <c r="M885" s="1">
        <f ca="1">TODAY()-customer[[#This Row],[LastLoginDate]]</f>
        <v>579</v>
      </c>
    </row>
    <row r="886" spans="1:13" x14ac:dyDescent="0.3">
      <c r="A886">
        <v>885</v>
      </c>
      <c r="B886" t="s">
        <v>899</v>
      </c>
      <c r="C886">
        <v>30</v>
      </c>
      <c r="D886" t="s">
        <v>14</v>
      </c>
      <c r="E886" t="s">
        <v>12</v>
      </c>
      <c r="F886" s="1">
        <v>44657</v>
      </c>
      <c r="G886" s="1">
        <v>44786</v>
      </c>
      <c r="H886">
        <v>213</v>
      </c>
      <c r="I886">
        <v>4.0999999999999996</v>
      </c>
      <c r="J886">
        <v>1</v>
      </c>
      <c r="K886" t="str">
        <f>IF(customer[[#This Row],[IsChurned]]=1,"Churned","Active")</f>
        <v>Churned</v>
      </c>
      <c r="L886" t="str">
        <f>TEXT(customer[[#This Row],[SubscriptionDate]],"mmm-yyyy")</f>
        <v>Apr-2022</v>
      </c>
      <c r="M886" s="1">
        <f ca="1">TODAY()-customer[[#This Row],[LastLoginDate]]</f>
        <v>1257</v>
      </c>
    </row>
    <row r="887" spans="1:13" x14ac:dyDescent="0.3">
      <c r="A887">
        <v>886</v>
      </c>
      <c r="B887" t="s">
        <v>900</v>
      </c>
      <c r="C887">
        <v>45</v>
      </c>
      <c r="D887" t="s">
        <v>14</v>
      </c>
      <c r="E887" t="s">
        <v>18</v>
      </c>
      <c r="F887" s="1">
        <v>45340</v>
      </c>
      <c r="G887" s="1">
        <v>45681</v>
      </c>
      <c r="H887">
        <v>225</v>
      </c>
      <c r="I887">
        <v>1</v>
      </c>
      <c r="J887">
        <v>0</v>
      </c>
      <c r="K887" t="str">
        <f>IF(customer[[#This Row],[IsChurned]]=1,"Churned","Active")</f>
        <v>Active</v>
      </c>
      <c r="L887" t="str">
        <f>TEXT(customer[[#This Row],[SubscriptionDate]],"mmm-yyyy")</f>
        <v>Feb-2024</v>
      </c>
      <c r="M887" s="1">
        <f ca="1">TODAY()-customer[[#This Row],[LastLoginDate]]</f>
        <v>362</v>
      </c>
    </row>
    <row r="888" spans="1:13" x14ac:dyDescent="0.3">
      <c r="A888">
        <v>887</v>
      </c>
      <c r="B888" t="s">
        <v>901</v>
      </c>
      <c r="C888">
        <v>64</v>
      </c>
      <c r="D888" t="s">
        <v>14</v>
      </c>
      <c r="E888" t="s">
        <v>12</v>
      </c>
      <c r="F888" s="1">
        <v>44650</v>
      </c>
      <c r="G888" s="1">
        <v>45001</v>
      </c>
      <c r="H888">
        <v>22</v>
      </c>
      <c r="I888">
        <v>3.4</v>
      </c>
      <c r="J888">
        <v>1</v>
      </c>
      <c r="K888" t="str">
        <f>IF(customer[[#This Row],[IsChurned]]=1,"Churned","Active")</f>
        <v>Churned</v>
      </c>
      <c r="L888" t="str">
        <f>TEXT(customer[[#This Row],[SubscriptionDate]],"mmm-yyyy")</f>
        <v>Mar-2022</v>
      </c>
      <c r="M888" s="1">
        <f ca="1">TODAY()-customer[[#This Row],[LastLoginDate]]</f>
        <v>1042</v>
      </c>
    </row>
    <row r="889" spans="1:13" x14ac:dyDescent="0.3">
      <c r="A889">
        <v>888</v>
      </c>
      <c r="B889" t="s">
        <v>902</v>
      </c>
      <c r="C889">
        <v>34</v>
      </c>
      <c r="D889" t="s">
        <v>11</v>
      </c>
      <c r="E889" t="s">
        <v>15</v>
      </c>
      <c r="F889" s="1">
        <v>45390</v>
      </c>
      <c r="G889" s="1">
        <v>45448</v>
      </c>
      <c r="H889">
        <v>357</v>
      </c>
      <c r="I889">
        <v>2.1</v>
      </c>
      <c r="J889">
        <v>1</v>
      </c>
      <c r="K889" t="str">
        <f>IF(customer[[#This Row],[IsChurned]]=1,"Churned","Active")</f>
        <v>Churned</v>
      </c>
      <c r="L889" t="str">
        <f>TEXT(customer[[#This Row],[SubscriptionDate]],"mmm-yyyy")</f>
        <v>Apr-2024</v>
      </c>
      <c r="M889" s="1">
        <f ca="1">TODAY()-customer[[#This Row],[LastLoginDate]]</f>
        <v>595</v>
      </c>
    </row>
    <row r="890" spans="1:13" x14ac:dyDescent="0.3">
      <c r="A890">
        <v>889</v>
      </c>
      <c r="B890" t="s">
        <v>903</v>
      </c>
      <c r="C890">
        <v>25</v>
      </c>
      <c r="D890" t="s">
        <v>14</v>
      </c>
      <c r="E890" t="s">
        <v>18</v>
      </c>
      <c r="F890" s="1">
        <v>44861</v>
      </c>
      <c r="G890" s="1">
        <v>45162</v>
      </c>
      <c r="H890">
        <v>271</v>
      </c>
      <c r="I890">
        <v>4.5999999999999996</v>
      </c>
      <c r="J890">
        <v>0</v>
      </c>
      <c r="K890" t="str">
        <f>IF(customer[[#This Row],[IsChurned]]=1,"Churned","Active")</f>
        <v>Active</v>
      </c>
      <c r="L890" t="str">
        <f>TEXT(customer[[#This Row],[SubscriptionDate]],"mmm-yyyy")</f>
        <v>Oct-2022</v>
      </c>
      <c r="M890" s="1">
        <f ca="1">TODAY()-customer[[#This Row],[LastLoginDate]]</f>
        <v>881</v>
      </c>
    </row>
    <row r="891" spans="1:13" x14ac:dyDescent="0.3">
      <c r="A891">
        <v>890</v>
      </c>
      <c r="B891" t="s">
        <v>904</v>
      </c>
      <c r="C891">
        <v>41</v>
      </c>
      <c r="D891" t="s">
        <v>14</v>
      </c>
      <c r="E891" t="s">
        <v>18</v>
      </c>
      <c r="F891" s="1">
        <v>45270</v>
      </c>
      <c r="G891" s="1">
        <v>45289</v>
      </c>
      <c r="H891">
        <v>494</v>
      </c>
      <c r="I891">
        <v>4.7</v>
      </c>
      <c r="J891">
        <v>1</v>
      </c>
      <c r="K891" t="str">
        <f>IF(customer[[#This Row],[IsChurned]]=1,"Churned","Active")</f>
        <v>Churned</v>
      </c>
      <c r="L891" t="str">
        <f>TEXT(customer[[#This Row],[SubscriptionDate]],"mmm-yyyy")</f>
        <v>Dec-2023</v>
      </c>
      <c r="M891" s="1">
        <f ca="1">TODAY()-customer[[#This Row],[LastLoginDate]]</f>
        <v>754</v>
      </c>
    </row>
    <row r="892" spans="1:13" x14ac:dyDescent="0.3">
      <c r="A892">
        <v>891</v>
      </c>
      <c r="B892" t="s">
        <v>905</v>
      </c>
      <c r="C892">
        <v>22</v>
      </c>
      <c r="D892" t="s">
        <v>14</v>
      </c>
      <c r="E892" t="s">
        <v>12</v>
      </c>
      <c r="F892" s="1">
        <v>45248</v>
      </c>
      <c r="G892" s="1">
        <v>45295</v>
      </c>
      <c r="H892">
        <v>323</v>
      </c>
      <c r="I892">
        <v>2.8</v>
      </c>
      <c r="J892">
        <v>0</v>
      </c>
      <c r="K892" t="str">
        <f>IF(customer[[#This Row],[IsChurned]]=1,"Churned","Active")</f>
        <v>Active</v>
      </c>
      <c r="L892" t="str">
        <f>TEXT(customer[[#This Row],[SubscriptionDate]],"mmm-yyyy")</f>
        <v>Nov-2023</v>
      </c>
      <c r="M892" s="1">
        <f ca="1">TODAY()-customer[[#This Row],[LastLoginDate]]</f>
        <v>748</v>
      </c>
    </row>
    <row r="893" spans="1:13" x14ac:dyDescent="0.3">
      <c r="A893">
        <v>892</v>
      </c>
      <c r="B893" t="s">
        <v>906</v>
      </c>
      <c r="C893">
        <v>30</v>
      </c>
      <c r="D893" t="s">
        <v>14</v>
      </c>
      <c r="E893" t="s">
        <v>12</v>
      </c>
      <c r="F893" s="1">
        <v>45050</v>
      </c>
      <c r="G893" s="1">
        <v>45132</v>
      </c>
      <c r="H893">
        <v>154</v>
      </c>
      <c r="I893">
        <v>2.9</v>
      </c>
      <c r="J893">
        <v>1</v>
      </c>
      <c r="K893" t="str">
        <f>IF(customer[[#This Row],[IsChurned]]=1,"Churned","Active")</f>
        <v>Churned</v>
      </c>
      <c r="L893" t="str">
        <f>TEXT(customer[[#This Row],[SubscriptionDate]],"mmm-yyyy")</f>
        <v>May-2023</v>
      </c>
      <c r="M893" s="1">
        <f ca="1">TODAY()-customer[[#This Row],[LastLoginDate]]</f>
        <v>911</v>
      </c>
    </row>
    <row r="894" spans="1:13" x14ac:dyDescent="0.3">
      <c r="A894">
        <v>893</v>
      </c>
      <c r="B894" t="s">
        <v>907</v>
      </c>
      <c r="C894">
        <v>47</v>
      </c>
      <c r="D894" t="s">
        <v>14</v>
      </c>
      <c r="E894" t="s">
        <v>18</v>
      </c>
      <c r="F894" s="1">
        <v>45431</v>
      </c>
      <c r="G894" s="1">
        <v>45696</v>
      </c>
      <c r="H894">
        <v>26</v>
      </c>
      <c r="I894">
        <v>3.2</v>
      </c>
      <c r="J894">
        <v>1</v>
      </c>
      <c r="K894" t="str">
        <f>IF(customer[[#This Row],[IsChurned]]=1,"Churned","Active")</f>
        <v>Churned</v>
      </c>
      <c r="L894" t="str">
        <f>TEXT(customer[[#This Row],[SubscriptionDate]],"mmm-yyyy")</f>
        <v>May-2024</v>
      </c>
      <c r="M894" s="1">
        <f ca="1">TODAY()-customer[[#This Row],[LastLoginDate]]</f>
        <v>347</v>
      </c>
    </row>
    <row r="895" spans="1:13" x14ac:dyDescent="0.3">
      <c r="A895">
        <v>894</v>
      </c>
      <c r="B895" t="s">
        <v>908</v>
      </c>
      <c r="C895">
        <v>53</v>
      </c>
      <c r="D895" t="s">
        <v>14</v>
      </c>
      <c r="E895" t="s">
        <v>15</v>
      </c>
      <c r="F895" s="1">
        <v>44909</v>
      </c>
      <c r="G895" s="1">
        <v>44915</v>
      </c>
      <c r="H895">
        <v>220</v>
      </c>
      <c r="I895">
        <v>2.5</v>
      </c>
      <c r="J895">
        <v>0</v>
      </c>
      <c r="K895" t="str">
        <f>IF(customer[[#This Row],[IsChurned]]=1,"Churned","Active")</f>
        <v>Active</v>
      </c>
      <c r="L895" t="str">
        <f>TEXT(customer[[#This Row],[SubscriptionDate]],"mmm-yyyy")</f>
        <v>Dec-2022</v>
      </c>
      <c r="M895" s="1">
        <f ca="1">TODAY()-customer[[#This Row],[LastLoginDate]]</f>
        <v>1128</v>
      </c>
    </row>
    <row r="896" spans="1:13" x14ac:dyDescent="0.3">
      <c r="A896">
        <v>895</v>
      </c>
      <c r="B896" t="s">
        <v>909</v>
      </c>
      <c r="C896">
        <v>61</v>
      </c>
      <c r="D896" t="s">
        <v>11</v>
      </c>
      <c r="E896" t="s">
        <v>12</v>
      </c>
      <c r="F896" s="1">
        <v>45247</v>
      </c>
      <c r="G896" s="1">
        <v>45403</v>
      </c>
      <c r="H896">
        <v>499</v>
      </c>
      <c r="I896">
        <v>4.2</v>
      </c>
      <c r="J896">
        <v>1</v>
      </c>
      <c r="K896" t="str">
        <f>IF(customer[[#This Row],[IsChurned]]=1,"Churned","Active")</f>
        <v>Churned</v>
      </c>
      <c r="L896" t="str">
        <f>TEXT(customer[[#This Row],[SubscriptionDate]],"mmm-yyyy")</f>
        <v>Nov-2023</v>
      </c>
      <c r="M896" s="1">
        <f ca="1">TODAY()-customer[[#This Row],[LastLoginDate]]</f>
        <v>640</v>
      </c>
    </row>
    <row r="897" spans="1:13" x14ac:dyDescent="0.3">
      <c r="A897">
        <v>896</v>
      </c>
      <c r="B897" t="s">
        <v>910</v>
      </c>
      <c r="C897">
        <v>49</v>
      </c>
      <c r="D897" t="s">
        <v>11</v>
      </c>
      <c r="E897" t="s">
        <v>18</v>
      </c>
      <c r="F897" s="1">
        <v>44746</v>
      </c>
      <c r="G897" s="1">
        <v>45015</v>
      </c>
      <c r="H897">
        <v>456</v>
      </c>
      <c r="I897">
        <v>1.3</v>
      </c>
      <c r="J897">
        <v>1</v>
      </c>
      <c r="K897" t="str">
        <f>IF(customer[[#This Row],[IsChurned]]=1,"Churned","Active")</f>
        <v>Churned</v>
      </c>
      <c r="L897" t="str">
        <f>TEXT(customer[[#This Row],[SubscriptionDate]],"mmm-yyyy")</f>
        <v>Jul-2022</v>
      </c>
      <c r="M897" s="1">
        <f ca="1">TODAY()-customer[[#This Row],[LastLoginDate]]</f>
        <v>1028</v>
      </c>
    </row>
    <row r="898" spans="1:13" x14ac:dyDescent="0.3">
      <c r="A898">
        <v>897</v>
      </c>
      <c r="B898" t="s">
        <v>911</v>
      </c>
      <c r="C898">
        <v>47</v>
      </c>
      <c r="D898" t="s">
        <v>14</v>
      </c>
      <c r="E898" t="s">
        <v>15</v>
      </c>
      <c r="F898" s="1">
        <v>44783</v>
      </c>
      <c r="G898" s="1">
        <v>45141</v>
      </c>
      <c r="H898">
        <v>190</v>
      </c>
      <c r="I898">
        <v>2.1</v>
      </c>
      <c r="J898">
        <v>1</v>
      </c>
      <c r="K898" t="str">
        <f>IF(customer[[#This Row],[IsChurned]]=1,"Churned","Active")</f>
        <v>Churned</v>
      </c>
      <c r="L898" t="str">
        <f>TEXT(customer[[#This Row],[SubscriptionDate]],"mmm-yyyy")</f>
        <v>Aug-2022</v>
      </c>
      <c r="M898" s="1">
        <f ca="1">TODAY()-customer[[#This Row],[LastLoginDate]]</f>
        <v>902</v>
      </c>
    </row>
    <row r="899" spans="1:13" x14ac:dyDescent="0.3">
      <c r="A899">
        <v>898</v>
      </c>
      <c r="B899" t="s">
        <v>912</v>
      </c>
      <c r="C899">
        <v>40</v>
      </c>
      <c r="D899" t="s">
        <v>14</v>
      </c>
      <c r="E899" t="s">
        <v>18</v>
      </c>
      <c r="F899" s="1">
        <v>44757</v>
      </c>
      <c r="G899" s="1">
        <v>45113</v>
      </c>
      <c r="H899">
        <v>487</v>
      </c>
      <c r="I899">
        <v>4.7</v>
      </c>
      <c r="J899">
        <v>0</v>
      </c>
      <c r="K899" t="str">
        <f>IF(customer[[#This Row],[IsChurned]]=1,"Churned","Active")</f>
        <v>Active</v>
      </c>
      <c r="L899" t="str">
        <f>TEXT(customer[[#This Row],[SubscriptionDate]],"mmm-yyyy")</f>
        <v>Jul-2022</v>
      </c>
      <c r="M899" s="1">
        <f ca="1">TODAY()-customer[[#This Row],[LastLoginDate]]</f>
        <v>930</v>
      </c>
    </row>
    <row r="900" spans="1:13" x14ac:dyDescent="0.3">
      <c r="A900">
        <v>899</v>
      </c>
      <c r="B900" t="s">
        <v>913</v>
      </c>
      <c r="C900">
        <v>42</v>
      </c>
      <c r="D900" t="s">
        <v>14</v>
      </c>
      <c r="E900" t="s">
        <v>15</v>
      </c>
      <c r="F900" s="1">
        <v>45442</v>
      </c>
      <c r="G900" s="1">
        <v>45678</v>
      </c>
      <c r="H900">
        <v>123</v>
      </c>
      <c r="I900">
        <v>3.4</v>
      </c>
      <c r="J900">
        <v>1</v>
      </c>
      <c r="K900" t="str">
        <f>IF(customer[[#This Row],[IsChurned]]=1,"Churned","Active")</f>
        <v>Churned</v>
      </c>
      <c r="L900" t="str">
        <f>TEXT(customer[[#This Row],[SubscriptionDate]],"mmm-yyyy")</f>
        <v>May-2024</v>
      </c>
      <c r="M900" s="1">
        <f ca="1">TODAY()-customer[[#This Row],[LastLoginDate]]</f>
        <v>365</v>
      </c>
    </row>
    <row r="901" spans="1:13" x14ac:dyDescent="0.3">
      <c r="A901">
        <v>900</v>
      </c>
      <c r="B901" t="s">
        <v>914</v>
      </c>
      <c r="C901">
        <v>32</v>
      </c>
      <c r="D901" t="s">
        <v>11</v>
      </c>
      <c r="E901" t="s">
        <v>15</v>
      </c>
      <c r="F901" s="1">
        <v>44628</v>
      </c>
      <c r="G901" s="1">
        <v>44983</v>
      </c>
      <c r="H901">
        <v>380</v>
      </c>
      <c r="I901">
        <v>2.7</v>
      </c>
      <c r="J901">
        <v>1</v>
      </c>
      <c r="K901" t="str">
        <f>IF(customer[[#This Row],[IsChurned]]=1,"Churned","Active")</f>
        <v>Churned</v>
      </c>
      <c r="L901" t="str">
        <f>TEXT(customer[[#This Row],[SubscriptionDate]],"mmm-yyyy")</f>
        <v>Mar-2022</v>
      </c>
      <c r="M901" s="1">
        <f ca="1">TODAY()-customer[[#This Row],[LastLoginDate]]</f>
        <v>1060</v>
      </c>
    </row>
    <row r="902" spans="1:13" x14ac:dyDescent="0.3">
      <c r="A902">
        <v>901</v>
      </c>
      <c r="B902" t="s">
        <v>915</v>
      </c>
      <c r="C902">
        <v>64</v>
      </c>
      <c r="D902" t="s">
        <v>11</v>
      </c>
      <c r="E902" t="s">
        <v>12</v>
      </c>
      <c r="F902" s="1">
        <v>45320</v>
      </c>
      <c r="G902" s="1">
        <v>45648</v>
      </c>
      <c r="H902">
        <v>148</v>
      </c>
      <c r="I902">
        <v>3.4</v>
      </c>
      <c r="J902">
        <v>0</v>
      </c>
      <c r="K902" t="str">
        <f>IF(customer[[#This Row],[IsChurned]]=1,"Churned","Active")</f>
        <v>Active</v>
      </c>
      <c r="L902" t="str">
        <f>TEXT(customer[[#This Row],[SubscriptionDate]],"mmm-yyyy")</f>
        <v>Jan-2024</v>
      </c>
      <c r="M902" s="1">
        <f ca="1">TODAY()-customer[[#This Row],[LastLoginDate]]</f>
        <v>395</v>
      </c>
    </row>
    <row r="903" spans="1:13" x14ac:dyDescent="0.3">
      <c r="A903">
        <v>902</v>
      </c>
      <c r="B903" t="s">
        <v>916</v>
      </c>
      <c r="C903">
        <v>54</v>
      </c>
      <c r="D903" t="s">
        <v>11</v>
      </c>
      <c r="E903" t="s">
        <v>15</v>
      </c>
      <c r="F903" s="1">
        <v>44989</v>
      </c>
      <c r="G903" s="1">
        <v>45104</v>
      </c>
      <c r="H903">
        <v>170</v>
      </c>
      <c r="I903">
        <v>3.8</v>
      </c>
      <c r="J903">
        <v>0</v>
      </c>
      <c r="K903" t="str">
        <f>IF(customer[[#This Row],[IsChurned]]=1,"Churned","Active")</f>
        <v>Active</v>
      </c>
      <c r="L903" t="str">
        <f>TEXT(customer[[#This Row],[SubscriptionDate]],"mmm-yyyy")</f>
        <v>Mar-2023</v>
      </c>
      <c r="M903" s="1">
        <f ca="1">TODAY()-customer[[#This Row],[LastLoginDate]]</f>
        <v>939</v>
      </c>
    </row>
    <row r="904" spans="1:13" x14ac:dyDescent="0.3">
      <c r="A904">
        <v>903</v>
      </c>
      <c r="B904" t="s">
        <v>917</v>
      </c>
      <c r="C904">
        <v>34</v>
      </c>
      <c r="D904" t="s">
        <v>14</v>
      </c>
      <c r="E904" t="s">
        <v>18</v>
      </c>
      <c r="F904" s="1">
        <v>45141</v>
      </c>
      <c r="G904" s="1">
        <v>45235</v>
      </c>
      <c r="H904">
        <v>162</v>
      </c>
      <c r="I904">
        <v>3.6</v>
      </c>
      <c r="J904">
        <v>0</v>
      </c>
      <c r="K904" t="str">
        <f>IF(customer[[#This Row],[IsChurned]]=1,"Churned","Active")</f>
        <v>Active</v>
      </c>
      <c r="L904" t="str">
        <f>TEXT(customer[[#This Row],[SubscriptionDate]],"mmm-yyyy")</f>
        <v>Aug-2023</v>
      </c>
      <c r="M904" s="1">
        <f ca="1">TODAY()-customer[[#This Row],[LastLoginDate]]</f>
        <v>808</v>
      </c>
    </row>
    <row r="905" spans="1:13" x14ac:dyDescent="0.3">
      <c r="A905">
        <v>904</v>
      </c>
      <c r="B905" t="s">
        <v>918</v>
      </c>
      <c r="C905">
        <v>39</v>
      </c>
      <c r="D905" t="s">
        <v>11</v>
      </c>
      <c r="E905" t="s">
        <v>15</v>
      </c>
      <c r="F905" s="1">
        <v>44837</v>
      </c>
      <c r="G905" s="1">
        <v>45097</v>
      </c>
      <c r="H905">
        <v>268</v>
      </c>
      <c r="I905">
        <v>2.6</v>
      </c>
      <c r="J905">
        <v>0</v>
      </c>
      <c r="K905" t="str">
        <f>IF(customer[[#This Row],[IsChurned]]=1,"Churned","Active")</f>
        <v>Active</v>
      </c>
      <c r="L905" t="str">
        <f>TEXT(customer[[#This Row],[SubscriptionDate]],"mmm-yyyy")</f>
        <v>Oct-2022</v>
      </c>
      <c r="M905" s="1">
        <f ca="1">TODAY()-customer[[#This Row],[LastLoginDate]]</f>
        <v>946</v>
      </c>
    </row>
    <row r="906" spans="1:13" x14ac:dyDescent="0.3">
      <c r="A906">
        <v>905</v>
      </c>
      <c r="B906" t="s">
        <v>919</v>
      </c>
      <c r="C906">
        <v>31</v>
      </c>
      <c r="D906" t="s">
        <v>11</v>
      </c>
      <c r="E906" t="s">
        <v>18</v>
      </c>
      <c r="F906" s="1">
        <v>45082</v>
      </c>
      <c r="G906" s="1">
        <v>45318</v>
      </c>
      <c r="H906">
        <v>474</v>
      </c>
      <c r="I906">
        <v>3.6</v>
      </c>
      <c r="J906">
        <v>1</v>
      </c>
      <c r="K906" t="str">
        <f>IF(customer[[#This Row],[IsChurned]]=1,"Churned","Active")</f>
        <v>Churned</v>
      </c>
      <c r="L906" t="str">
        <f>TEXT(customer[[#This Row],[SubscriptionDate]],"mmm-yyyy")</f>
        <v>Jun-2023</v>
      </c>
      <c r="M906" s="1">
        <f ca="1">TODAY()-customer[[#This Row],[LastLoginDate]]</f>
        <v>725</v>
      </c>
    </row>
    <row r="907" spans="1:13" x14ac:dyDescent="0.3">
      <c r="A907">
        <v>906</v>
      </c>
      <c r="B907" t="s">
        <v>920</v>
      </c>
      <c r="C907">
        <v>56</v>
      </c>
      <c r="D907" t="s">
        <v>14</v>
      </c>
      <c r="E907" t="s">
        <v>12</v>
      </c>
      <c r="F907" s="1">
        <v>45184</v>
      </c>
      <c r="G907" s="1">
        <v>45259</v>
      </c>
      <c r="H907">
        <v>238</v>
      </c>
      <c r="I907">
        <v>3.3</v>
      </c>
      <c r="J907">
        <v>1</v>
      </c>
      <c r="K907" t="str">
        <f>IF(customer[[#This Row],[IsChurned]]=1,"Churned","Active")</f>
        <v>Churned</v>
      </c>
      <c r="L907" t="str">
        <f>TEXT(customer[[#This Row],[SubscriptionDate]],"mmm-yyyy")</f>
        <v>Sep-2023</v>
      </c>
      <c r="M907" s="1">
        <f ca="1">TODAY()-customer[[#This Row],[LastLoginDate]]</f>
        <v>784</v>
      </c>
    </row>
    <row r="908" spans="1:13" x14ac:dyDescent="0.3">
      <c r="A908">
        <v>907</v>
      </c>
      <c r="B908" t="s">
        <v>921</v>
      </c>
      <c r="C908">
        <v>58</v>
      </c>
      <c r="D908" t="s">
        <v>11</v>
      </c>
      <c r="E908" t="s">
        <v>12</v>
      </c>
      <c r="F908" s="1">
        <v>44805</v>
      </c>
      <c r="G908" s="1">
        <v>44939</v>
      </c>
      <c r="H908">
        <v>108</v>
      </c>
      <c r="I908">
        <v>2.4</v>
      </c>
      <c r="J908">
        <v>1</v>
      </c>
      <c r="K908" t="str">
        <f>IF(customer[[#This Row],[IsChurned]]=1,"Churned","Active")</f>
        <v>Churned</v>
      </c>
      <c r="L908" t="str">
        <f>TEXT(customer[[#This Row],[SubscriptionDate]],"mmm-yyyy")</f>
        <v>Sep-2022</v>
      </c>
      <c r="M908" s="1">
        <f ca="1">TODAY()-customer[[#This Row],[LastLoginDate]]</f>
        <v>1104</v>
      </c>
    </row>
    <row r="909" spans="1:13" x14ac:dyDescent="0.3">
      <c r="A909">
        <v>908</v>
      </c>
      <c r="B909" t="s">
        <v>922</v>
      </c>
      <c r="C909">
        <v>49</v>
      </c>
      <c r="D909" t="s">
        <v>14</v>
      </c>
      <c r="E909" t="s">
        <v>12</v>
      </c>
      <c r="F909" s="1">
        <v>44907</v>
      </c>
      <c r="G909" s="1">
        <v>45271</v>
      </c>
      <c r="H909">
        <v>311</v>
      </c>
      <c r="I909">
        <v>1</v>
      </c>
      <c r="J909">
        <v>0</v>
      </c>
      <c r="K909" t="str">
        <f>IF(customer[[#This Row],[IsChurned]]=1,"Churned","Active")</f>
        <v>Active</v>
      </c>
      <c r="L909" t="str">
        <f>TEXT(customer[[#This Row],[SubscriptionDate]],"mmm-yyyy")</f>
        <v>Dec-2022</v>
      </c>
      <c r="M909" s="1">
        <f ca="1">TODAY()-customer[[#This Row],[LastLoginDate]]</f>
        <v>772</v>
      </c>
    </row>
    <row r="910" spans="1:13" x14ac:dyDescent="0.3">
      <c r="A910">
        <v>909</v>
      </c>
      <c r="B910" t="s">
        <v>923</v>
      </c>
      <c r="C910">
        <v>55</v>
      </c>
      <c r="D910" t="s">
        <v>11</v>
      </c>
      <c r="E910" t="s">
        <v>12</v>
      </c>
      <c r="F910" s="1">
        <v>44971</v>
      </c>
      <c r="G910" s="1">
        <v>45292</v>
      </c>
      <c r="H910">
        <v>350</v>
      </c>
      <c r="I910">
        <v>4</v>
      </c>
      <c r="J910">
        <v>1</v>
      </c>
      <c r="K910" t="str">
        <f>IF(customer[[#This Row],[IsChurned]]=1,"Churned","Active")</f>
        <v>Churned</v>
      </c>
      <c r="L910" t="str">
        <f>TEXT(customer[[#This Row],[SubscriptionDate]],"mmm-yyyy")</f>
        <v>Feb-2023</v>
      </c>
      <c r="M910" s="1">
        <f ca="1">TODAY()-customer[[#This Row],[LastLoginDate]]</f>
        <v>751</v>
      </c>
    </row>
    <row r="911" spans="1:13" x14ac:dyDescent="0.3">
      <c r="A911">
        <v>910</v>
      </c>
      <c r="B911" t="s">
        <v>924</v>
      </c>
      <c r="C911">
        <v>53</v>
      </c>
      <c r="D911" t="s">
        <v>11</v>
      </c>
      <c r="E911" t="s">
        <v>12</v>
      </c>
      <c r="F911" s="1">
        <v>44586</v>
      </c>
      <c r="G911" s="1">
        <v>44942</v>
      </c>
      <c r="H911">
        <v>43</v>
      </c>
      <c r="I911">
        <v>3.3</v>
      </c>
      <c r="J911">
        <v>1</v>
      </c>
      <c r="K911" t="str">
        <f>IF(customer[[#This Row],[IsChurned]]=1,"Churned","Active")</f>
        <v>Churned</v>
      </c>
      <c r="L911" t="str">
        <f>TEXT(customer[[#This Row],[SubscriptionDate]],"mmm-yyyy")</f>
        <v>Jan-2022</v>
      </c>
      <c r="M911" s="1">
        <f ca="1">TODAY()-customer[[#This Row],[LastLoginDate]]</f>
        <v>1101</v>
      </c>
    </row>
    <row r="912" spans="1:13" x14ac:dyDescent="0.3">
      <c r="A912">
        <v>911</v>
      </c>
      <c r="B912" t="s">
        <v>925</v>
      </c>
      <c r="C912">
        <v>45</v>
      </c>
      <c r="D912" t="s">
        <v>14</v>
      </c>
      <c r="E912" t="s">
        <v>15</v>
      </c>
      <c r="F912" s="1">
        <v>45118</v>
      </c>
      <c r="G912" s="1">
        <v>45231</v>
      </c>
      <c r="H912">
        <v>450</v>
      </c>
      <c r="I912">
        <v>3.7</v>
      </c>
      <c r="J912">
        <v>0</v>
      </c>
      <c r="K912" t="str">
        <f>IF(customer[[#This Row],[IsChurned]]=1,"Churned","Active")</f>
        <v>Active</v>
      </c>
      <c r="L912" t="str">
        <f>TEXT(customer[[#This Row],[SubscriptionDate]],"mmm-yyyy")</f>
        <v>Jul-2023</v>
      </c>
      <c r="M912" s="1">
        <f ca="1">TODAY()-customer[[#This Row],[LastLoginDate]]</f>
        <v>812</v>
      </c>
    </row>
    <row r="913" spans="1:13" x14ac:dyDescent="0.3">
      <c r="A913">
        <v>912</v>
      </c>
      <c r="B913" t="s">
        <v>926</v>
      </c>
      <c r="C913">
        <v>58</v>
      </c>
      <c r="D913" t="s">
        <v>11</v>
      </c>
      <c r="E913" t="s">
        <v>15</v>
      </c>
      <c r="F913" s="1">
        <v>45015</v>
      </c>
      <c r="G913" s="1">
        <v>45046</v>
      </c>
      <c r="H913">
        <v>244</v>
      </c>
      <c r="I913">
        <v>3.9</v>
      </c>
      <c r="J913">
        <v>1</v>
      </c>
      <c r="K913" t="str">
        <f>IF(customer[[#This Row],[IsChurned]]=1,"Churned","Active")</f>
        <v>Churned</v>
      </c>
      <c r="L913" t="str">
        <f>TEXT(customer[[#This Row],[SubscriptionDate]],"mmm-yyyy")</f>
        <v>Mar-2023</v>
      </c>
      <c r="M913" s="1">
        <f ca="1">TODAY()-customer[[#This Row],[LastLoginDate]]</f>
        <v>997</v>
      </c>
    </row>
    <row r="914" spans="1:13" x14ac:dyDescent="0.3">
      <c r="A914">
        <v>913</v>
      </c>
      <c r="B914" t="s">
        <v>927</v>
      </c>
      <c r="C914">
        <v>43</v>
      </c>
      <c r="D914" t="s">
        <v>11</v>
      </c>
      <c r="E914" t="s">
        <v>15</v>
      </c>
      <c r="F914" s="1">
        <v>45400</v>
      </c>
      <c r="G914" s="1">
        <v>45647</v>
      </c>
      <c r="H914">
        <v>47</v>
      </c>
      <c r="I914">
        <v>1.5</v>
      </c>
      <c r="J914">
        <v>0</v>
      </c>
      <c r="K914" t="str">
        <f>IF(customer[[#This Row],[IsChurned]]=1,"Churned","Active")</f>
        <v>Active</v>
      </c>
      <c r="L914" t="str">
        <f>TEXT(customer[[#This Row],[SubscriptionDate]],"mmm-yyyy")</f>
        <v>Apr-2024</v>
      </c>
      <c r="M914" s="1">
        <f ca="1">TODAY()-customer[[#This Row],[LastLoginDate]]</f>
        <v>396</v>
      </c>
    </row>
    <row r="915" spans="1:13" x14ac:dyDescent="0.3">
      <c r="A915">
        <v>914</v>
      </c>
      <c r="B915" t="s">
        <v>928</v>
      </c>
      <c r="C915">
        <v>18</v>
      </c>
      <c r="D915" t="s">
        <v>11</v>
      </c>
      <c r="E915" t="s">
        <v>12</v>
      </c>
      <c r="F915" s="1">
        <v>45125</v>
      </c>
      <c r="G915" s="1">
        <v>45451</v>
      </c>
      <c r="H915">
        <v>75</v>
      </c>
      <c r="I915">
        <v>4.5999999999999996</v>
      </c>
      <c r="J915">
        <v>1</v>
      </c>
      <c r="K915" t="str">
        <f>IF(customer[[#This Row],[IsChurned]]=1,"Churned","Active")</f>
        <v>Churned</v>
      </c>
      <c r="L915" t="str">
        <f>TEXT(customer[[#This Row],[SubscriptionDate]],"mmm-yyyy")</f>
        <v>Jul-2023</v>
      </c>
      <c r="M915" s="1">
        <f ca="1">TODAY()-customer[[#This Row],[LastLoginDate]]</f>
        <v>592</v>
      </c>
    </row>
    <row r="916" spans="1:13" x14ac:dyDescent="0.3">
      <c r="A916">
        <v>915</v>
      </c>
      <c r="B916" t="s">
        <v>929</v>
      </c>
      <c r="C916">
        <v>50</v>
      </c>
      <c r="D916" t="s">
        <v>14</v>
      </c>
      <c r="E916" t="s">
        <v>12</v>
      </c>
      <c r="F916" s="1">
        <v>44991</v>
      </c>
      <c r="G916" s="1">
        <v>45141</v>
      </c>
      <c r="H916">
        <v>466</v>
      </c>
      <c r="I916">
        <v>1.4</v>
      </c>
      <c r="J916">
        <v>1</v>
      </c>
      <c r="K916" t="str">
        <f>IF(customer[[#This Row],[IsChurned]]=1,"Churned","Active")</f>
        <v>Churned</v>
      </c>
      <c r="L916" t="str">
        <f>TEXT(customer[[#This Row],[SubscriptionDate]],"mmm-yyyy")</f>
        <v>Mar-2023</v>
      </c>
      <c r="M916" s="1">
        <f ca="1">TODAY()-customer[[#This Row],[LastLoginDate]]</f>
        <v>902</v>
      </c>
    </row>
    <row r="917" spans="1:13" x14ac:dyDescent="0.3">
      <c r="A917">
        <v>916</v>
      </c>
      <c r="B917" t="s">
        <v>930</v>
      </c>
      <c r="C917">
        <v>53</v>
      </c>
      <c r="D917" t="s">
        <v>11</v>
      </c>
      <c r="E917" t="s">
        <v>15</v>
      </c>
      <c r="F917" s="1">
        <v>45375</v>
      </c>
      <c r="G917" s="1">
        <v>45625</v>
      </c>
      <c r="H917">
        <v>83</v>
      </c>
      <c r="I917">
        <v>3.6</v>
      </c>
      <c r="J917">
        <v>1</v>
      </c>
      <c r="K917" t="str">
        <f>IF(customer[[#This Row],[IsChurned]]=1,"Churned","Active")</f>
        <v>Churned</v>
      </c>
      <c r="L917" t="str">
        <f>TEXT(customer[[#This Row],[SubscriptionDate]],"mmm-yyyy")</f>
        <v>Mar-2024</v>
      </c>
      <c r="M917" s="1">
        <f ca="1">TODAY()-customer[[#This Row],[LastLoginDate]]</f>
        <v>418</v>
      </c>
    </row>
    <row r="918" spans="1:13" x14ac:dyDescent="0.3">
      <c r="A918">
        <v>917</v>
      </c>
      <c r="B918" t="s">
        <v>931</v>
      </c>
      <c r="C918">
        <v>62</v>
      </c>
      <c r="D918" t="s">
        <v>14</v>
      </c>
      <c r="E918" t="s">
        <v>15</v>
      </c>
      <c r="F918" s="1">
        <v>44944</v>
      </c>
      <c r="G918" s="1">
        <v>45272</v>
      </c>
      <c r="H918">
        <v>279</v>
      </c>
      <c r="I918">
        <v>1.6</v>
      </c>
      <c r="J918">
        <v>0</v>
      </c>
      <c r="K918" t="str">
        <f>IF(customer[[#This Row],[IsChurned]]=1,"Churned","Active")</f>
        <v>Active</v>
      </c>
      <c r="L918" t="str">
        <f>TEXT(customer[[#This Row],[SubscriptionDate]],"mmm-yyyy")</f>
        <v>Jan-2023</v>
      </c>
      <c r="M918" s="1">
        <f ca="1">TODAY()-customer[[#This Row],[LastLoginDate]]</f>
        <v>771</v>
      </c>
    </row>
    <row r="919" spans="1:13" x14ac:dyDescent="0.3">
      <c r="A919">
        <v>918</v>
      </c>
      <c r="B919" t="s">
        <v>932</v>
      </c>
      <c r="C919">
        <v>18</v>
      </c>
      <c r="D919" t="s">
        <v>14</v>
      </c>
      <c r="E919" t="s">
        <v>15</v>
      </c>
      <c r="F919" s="1">
        <v>44600</v>
      </c>
      <c r="G919" s="1">
        <v>44939</v>
      </c>
      <c r="H919">
        <v>60</v>
      </c>
      <c r="I919">
        <v>5</v>
      </c>
      <c r="J919">
        <v>1</v>
      </c>
      <c r="K919" t="str">
        <f>IF(customer[[#This Row],[IsChurned]]=1,"Churned","Active")</f>
        <v>Churned</v>
      </c>
      <c r="L919" t="str">
        <f>TEXT(customer[[#This Row],[SubscriptionDate]],"mmm-yyyy")</f>
        <v>Feb-2022</v>
      </c>
      <c r="M919" s="1">
        <f ca="1">TODAY()-customer[[#This Row],[LastLoginDate]]</f>
        <v>1104</v>
      </c>
    </row>
    <row r="920" spans="1:13" x14ac:dyDescent="0.3">
      <c r="A920">
        <v>919</v>
      </c>
      <c r="B920" t="s">
        <v>933</v>
      </c>
      <c r="C920">
        <v>38</v>
      </c>
      <c r="D920" t="s">
        <v>11</v>
      </c>
      <c r="E920" t="s">
        <v>15</v>
      </c>
      <c r="F920" s="1">
        <v>45027</v>
      </c>
      <c r="G920" s="1">
        <v>45309</v>
      </c>
      <c r="H920">
        <v>325</v>
      </c>
      <c r="I920">
        <v>4.4000000000000004</v>
      </c>
      <c r="J920">
        <v>1</v>
      </c>
      <c r="K920" t="str">
        <f>IF(customer[[#This Row],[IsChurned]]=1,"Churned","Active")</f>
        <v>Churned</v>
      </c>
      <c r="L920" t="str">
        <f>TEXT(customer[[#This Row],[SubscriptionDate]],"mmm-yyyy")</f>
        <v>Apr-2023</v>
      </c>
      <c r="M920" s="1">
        <f ca="1">TODAY()-customer[[#This Row],[LastLoginDate]]</f>
        <v>734</v>
      </c>
    </row>
    <row r="921" spans="1:13" x14ac:dyDescent="0.3">
      <c r="A921">
        <v>920</v>
      </c>
      <c r="B921" t="s">
        <v>934</v>
      </c>
      <c r="C921">
        <v>32</v>
      </c>
      <c r="D921" t="s">
        <v>11</v>
      </c>
      <c r="E921" t="s">
        <v>18</v>
      </c>
      <c r="F921" s="1">
        <v>44815</v>
      </c>
      <c r="G921" s="1">
        <v>45066</v>
      </c>
      <c r="H921">
        <v>168</v>
      </c>
      <c r="I921">
        <v>2</v>
      </c>
      <c r="J921">
        <v>1</v>
      </c>
      <c r="K921" t="str">
        <f>IF(customer[[#This Row],[IsChurned]]=1,"Churned","Active")</f>
        <v>Churned</v>
      </c>
      <c r="L921" t="str">
        <f>TEXT(customer[[#This Row],[SubscriptionDate]],"mmm-yyyy")</f>
        <v>Sep-2022</v>
      </c>
      <c r="M921" s="1">
        <f ca="1">TODAY()-customer[[#This Row],[LastLoginDate]]</f>
        <v>977</v>
      </c>
    </row>
    <row r="922" spans="1:13" x14ac:dyDescent="0.3">
      <c r="A922">
        <v>921</v>
      </c>
      <c r="B922" t="s">
        <v>935</v>
      </c>
      <c r="C922">
        <v>62</v>
      </c>
      <c r="D922" t="s">
        <v>11</v>
      </c>
      <c r="E922" t="s">
        <v>15</v>
      </c>
      <c r="F922" s="1">
        <v>45249</v>
      </c>
      <c r="G922" s="1">
        <v>45599</v>
      </c>
      <c r="H922">
        <v>418</v>
      </c>
      <c r="I922">
        <v>1.2</v>
      </c>
      <c r="J922">
        <v>0</v>
      </c>
      <c r="K922" t="str">
        <f>IF(customer[[#This Row],[IsChurned]]=1,"Churned","Active")</f>
        <v>Active</v>
      </c>
      <c r="L922" t="str">
        <f>TEXT(customer[[#This Row],[SubscriptionDate]],"mmm-yyyy")</f>
        <v>Nov-2023</v>
      </c>
      <c r="M922" s="1">
        <f ca="1">TODAY()-customer[[#This Row],[LastLoginDate]]</f>
        <v>444</v>
      </c>
    </row>
    <row r="923" spans="1:13" x14ac:dyDescent="0.3">
      <c r="A923">
        <v>922</v>
      </c>
      <c r="B923" t="s">
        <v>936</v>
      </c>
      <c r="C923">
        <v>19</v>
      </c>
      <c r="D923" t="s">
        <v>14</v>
      </c>
      <c r="E923" t="s">
        <v>12</v>
      </c>
      <c r="F923" s="1">
        <v>44571</v>
      </c>
      <c r="G923" s="1">
        <v>44575</v>
      </c>
      <c r="H923">
        <v>444</v>
      </c>
      <c r="I923">
        <v>2.6</v>
      </c>
      <c r="J923">
        <v>0</v>
      </c>
      <c r="K923" t="str">
        <f>IF(customer[[#This Row],[IsChurned]]=1,"Churned","Active")</f>
        <v>Active</v>
      </c>
      <c r="L923" t="str">
        <f>TEXT(customer[[#This Row],[SubscriptionDate]],"mmm-yyyy")</f>
        <v>Jan-2022</v>
      </c>
      <c r="M923" s="1">
        <f ca="1">TODAY()-customer[[#This Row],[LastLoginDate]]</f>
        <v>1468</v>
      </c>
    </row>
    <row r="924" spans="1:13" x14ac:dyDescent="0.3">
      <c r="A924">
        <v>923</v>
      </c>
      <c r="B924" t="s">
        <v>937</v>
      </c>
      <c r="C924">
        <v>24</v>
      </c>
      <c r="D924" t="s">
        <v>14</v>
      </c>
      <c r="E924" t="s">
        <v>15</v>
      </c>
      <c r="F924" s="1">
        <v>44672</v>
      </c>
      <c r="G924" s="1">
        <v>44722</v>
      </c>
      <c r="H924">
        <v>285</v>
      </c>
      <c r="I924">
        <v>3.5</v>
      </c>
      <c r="J924">
        <v>1</v>
      </c>
      <c r="K924" t="str">
        <f>IF(customer[[#This Row],[IsChurned]]=1,"Churned","Active")</f>
        <v>Churned</v>
      </c>
      <c r="L924" t="str">
        <f>TEXT(customer[[#This Row],[SubscriptionDate]],"mmm-yyyy")</f>
        <v>Apr-2022</v>
      </c>
      <c r="M924" s="1">
        <f ca="1">TODAY()-customer[[#This Row],[LastLoginDate]]</f>
        <v>1321</v>
      </c>
    </row>
    <row r="925" spans="1:13" x14ac:dyDescent="0.3">
      <c r="A925">
        <v>924</v>
      </c>
      <c r="B925" t="s">
        <v>938</v>
      </c>
      <c r="C925">
        <v>37</v>
      </c>
      <c r="D925" t="s">
        <v>11</v>
      </c>
      <c r="E925" t="s">
        <v>12</v>
      </c>
      <c r="F925" s="1">
        <v>45310</v>
      </c>
      <c r="G925" s="1">
        <v>45318</v>
      </c>
      <c r="H925">
        <v>389</v>
      </c>
      <c r="I925">
        <v>4.2</v>
      </c>
      <c r="J925">
        <v>0</v>
      </c>
      <c r="K925" t="str">
        <f>IF(customer[[#This Row],[IsChurned]]=1,"Churned","Active")</f>
        <v>Active</v>
      </c>
      <c r="L925" t="str">
        <f>TEXT(customer[[#This Row],[SubscriptionDate]],"mmm-yyyy")</f>
        <v>Jan-2024</v>
      </c>
      <c r="M925" s="1">
        <f ca="1">TODAY()-customer[[#This Row],[LastLoginDate]]</f>
        <v>725</v>
      </c>
    </row>
    <row r="926" spans="1:13" x14ac:dyDescent="0.3">
      <c r="A926">
        <v>925</v>
      </c>
      <c r="B926" t="s">
        <v>939</v>
      </c>
      <c r="C926">
        <v>51</v>
      </c>
      <c r="D926" t="s">
        <v>14</v>
      </c>
      <c r="E926" t="s">
        <v>15</v>
      </c>
      <c r="F926" s="1">
        <v>45250</v>
      </c>
      <c r="G926" s="1">
        <v>45342</v>
      </c>
      <c r="H926">
        <v>6</v>
      </c>
      <c r="I926">
        <v>1.5</v>
      </c>
      <c r="J926">
        <v>1</v>
      </c>
      <c r="K926" t="str">
        <f>IF(customer[[#This Row],[IsChurned]]=1,"Churned","Active")</f>
        <v>Churned</v>
      </c>
      <c r="L926" t="str">
        <f>TEXT(customer[[#This Row],[SubscriptionDate]],"mmm-yyyy")</f>
        <v>Nov-2023</v>
      </c>
      <c r="M926" s="1">
        <f ca="1">TODAY()-customer[[#This Row],[LastLoginDate]]</f>
        <v>701</v>
      </c>
    </row>
    <row r="927" spans="1:13" x14ac:dyDescent="0.3">
      <c r="A927">
        <v>926</v>
      </c>
      <c r="B927" t="s">
        <v>940</v>
      </c>
      <c r="C927">
        <v>56</v>
      </c>
      <c r="D927" t="s">
        <v>11</v>
      </c>
      <c r="E927" t="s">
        <v>18</v>
      </c>
      <c r="F927" s="1">
        <v>45336</v>
      </c>
      <c r="G927" s="1">
        <v>45559</v>
      </c>
      <c r="H927">
        <v>80</v>
      </c>
      <c r="I927">
        <v>4.5</v>
      </c>
      <c r="J927">
        <v>0</v>
      </c>
      <c r="K927" t="str">
        <f>IF(customer[[#This Row],[IsChurned]]=1,"Churned","Active")</f>
        <v>Active</v>
      </c>
      <c r="L927" t="str">
        <f>TEXT(customer[[#This Row],[SubscriptionDate]],"mmm-yyyy")</f>
        <v>Feb-2024</v>
      </c>
      <c r="M927" s="1">
        <f ca="1">TODAY()-customer[[#This Row],[LastLoginDate]]</f>
        <v>484</v>
      </c>
    </row>
    <row r="928" spans="1:13" x14ac:dyDescent="0.3">
      <c r="A928">
        <v>927</v>
      </c>
      <c r="B928" t="s">
        <v>941</v>
      </c>
      <c r="C928">
        <v>25</v>
      </c>
      <c r="D928" t="s">
        <v>14</v>
      </c>
      <c r="E928" t="s">
        <v>15</v>
      </c>
      <c r="F928" s="1">
        <v>44766</v>
      </c>
      <c r="G928" s="1">
        <v>44913</v>
      </c>
      <c r="H928">
        <v>473</v>
      </c>
      <c r="I928">
        <v>2.8</v>
      </c>
      <c r="J928">
        <v>0</v>
      </c>
      <c r="K928" t="str">
        <f>IF(customer[[#This Row],[IsChurned]]=1,"Churned","Active")</f>
        <v>Active</v>
      </c>
      <c r="L928" t="str">
        <f>TEXT(customer[[#This Row],[SubscriptionDate]],"mmm-yyyy")</f>
        <v>Jul-2022</v>
      </c>
      <c r="M928" s="1">
        <f ca="1">TODAY()-customer[[#This Row],[LastLoginDate]]</f>
        <v>1130</v>
      </c>
    </row>
    <row r="929" spans="1:13" x14ac:dyDescent="0.3">
      <c r="A929">
        <v>928</v>
      </c>
      <c r="B929" t="s">
        <v>942</v>
      </c>
      <c r="C929">
        <v>32</v>
      </c>
      <c r="D929" t="s">
        <v>14</v>
      </c>
      <c r="E929" t="s">
        <v>18</v>
      </c>
      <c r="F929" s="1">
        <v>44924</v>
      </c>
      <c r="G929" s="1">
        <v>45145</v>
      </c>
      <c r="H929">
        <v>139</v>
      </c>
      <c r="I929">
        <v>2.9</v>
      </c>
      <c r="J929">
        <v>1</v>
      </c>
      <c r="K929" t="str">
        <f>IF(customer[[#This Row],[IsChurned]]=1,"Churned","Active")</f>
        <v>Churned</v>
      </c>
      <c r="L929" t="str">
        <f>TEXT(customer[[#This Row],[SubscriptionDate]],"mmm-yyyy")</f>
        <v>Dec-2022</v>
      </c>
      <c r="M929" s="1">
        <f ca="1">TODAY()-customer[[#This Row],[LastLoginDate]]</f>
        <v>898</v>
      </c>
    </row>
    <row r="930" spans="1:13" x14ac:dyDescent="0.3">
      <c r="A930">
        <v>929</v>
      </c>
      <c r="B930" t="s">
        <v>943</v>
      </c>
      <c r="C930">
        <v>55</v>
      </c>
      <c r="D930" t="s">
        <v>11</v>
      </c>
      <c r="E930" t="s">
        <v>12</v>
      </c>
      <c r="F930" s="1">
        <v>44768</v>
      </c>
      <c r="G930" s="1">
        <v>44841</v>
      </c>
      <c r="H930">
        <v>202</v>
      </c>
      <c r="I930">
        <v>4.2</v>
      </c>
      <c r="J930">
        <v>1</v>
      </c>
      <c r="K930" t="str">
        <f>IF(customer[[#This Row],[IsChurned]]=1,"Churned","Active")</f>
        <v>Churned</v>
      </c>
      <c r="L930" t="str">
        <f>TEXT(customer[[#This Row],[SubscriptionDate]],"mmm-yyyy")</f>
        <v>Jul-2022</v>
      </c>
      <c r="M930" s="1">
        <f ca="1">TODAY()-customer[[#This Row],[LastLoginDate]]</f>
        <v>1202</v>
      </c>
    </row>
    <row r="931" spans="1:13" x14ac:dyDescent="0.3">
      <c r="A931">
        <v>930</v>
      </c>
      <c r="B931" t="s">
        <v>944</v>
      </c>
      <c r="C931">
        <v>47</v>
      </c>
      <c r="D931" t="s">
        <v>14</v>
      </c>
      <c r="E931" t="s">
        <v>12</v>
      </c>
      <c r="F931" s="1">
        <v>44831</v>
      </c>
      <c r="G931" s="1">
        <v>44903</v>
      </c>
      <c r="H931">
        <v>268</v>
      </c>
      <c r="I931">
        <v>2.8</v>
      </c>
      <c r="J931">
        <v>1</v>
      </c>
      <c r="K931" t="str">
        <f>IF(customer[[#This Row],[IsChurned]]=1,"Churned","Active")</f>
        <v>Churned</v>
      </c>
      <c r="L931" t="str">
        <f>TEXT(customer[[#This Row],[SubscriptionDate]],"mmm-yyyy")</f>
        <v>Sep-2022</v>
      </c>
      <c r="M931" s="1">
        <f ca="1">TODAY()-customer[[#This Row],[LastLoginDate]]</f>
        <v>1140</v>
      </c>
    </row>
    <row r="932" spans="1:13" x14ac:dyDescent="0.3">
      <c r="A932">
        <v>931</v>
      </c>
      <c r="B932" t="s">
        <v>945</v>
      </c>
      <c r="C932">
        <v>47</v>
      </c>
      <c r="D932" t="s">
        <v>11</v>
      </c>
      <c r="E932" t="s">
        <v>18</v>
      </c>
      <c r="F932" s="1">
        <v>45394</v>
      </c>
      <c r="G932" s="1">
        <v>45724</v>
      </c>
      <c r="H932">
        <v>29</v>
      </c>
      <c r="I932">
        <v>4</v>
      </c>
      <c r="J932">
        <v>0</v>
      </c>
      <c r="K932" t="str">
        <f>IF(customer[[#This Row],[IsChurned]]=1,"Churned","Active")</f>
        <v>Active</v>
      </c>
      <c r="L932" t="str">
        <f>TEXT(customer[[#This Row],[SubscriptionDate]],"mmm-yyyy")</f>
        <v>Apr-2024</v>
      </c>
      <c r="M932" s="1">
        <f ca="1">TODAY()-customer[[#This Row],[LastLoginDate]]</f>
        <v>319</v>
      </c>
    </row>
    <row r="933" spans="1:13" x14ac:dyDescent="0.3">
      <c r="A933">
        <v>932</v>
      </c>
      <c r="B933" t="s">
        <v>946</v>
      </c>
      <c r="C933">
        <v>36</v>
      </c>
      <c r="D933" t="s">
        <v>11</v>
      </c>
      <c r="E933" t="s">
        <v>12</v>
      </c>
      <c r="F933" s="1">
        <v>44645</v>
      </c>
      <c r="G933" s="1">
        <v>44812</v>
      </c>
      <c r="H933">
        <v>478</v>
      </c>
      <c r="I933">
        <v>4.0999999999999996</v>
      </c>
      <c r="J933">
        <v>1</v>
      </c>
      <c r="K933" t="str">
        <f>IF(customer[[#This Row],[IsChurned]]=1,"Churned","Active")</f>
        <v>Churned</v>
      </c>
      <c r="L933" t="str">
        <f>TEXT(customer[[#This Row],[SubscriptionDate]],"mmm-yyyy")</f>
        <v>Mar-2022</v>
      </c>
      <c r="M933" s="1">
        <f ca="1">TODAY()-customer[[#This Row],[LastLoginDate]]</f>
        <v>1231</v>
      </c>
    </row>
    <row r="934" spans="1:13" x14ac:dyDescent="0.3">
      <c r="A934">
        <v>933</v>
      </c>
      <c r="B934" t="s">
        <v>947</v>
      </c>
      <c r="C934">
        <v>25</v>
      </c>
      <c r="D934" t="s">
        <v>14</v>
      </c>
      <c r="E934" t="s">
        <v>18</v>
      </c>
      <c r="F934" s="1">
        <v>44680</v>
      </c>
      <c r="G934" s="1">
        <v>45018</v>
      </c>
      <c r="H934">
        <v>381</v>
      </c>
      <c r="I934">
        <v>3.6</v>
      </c>
      <c r="J934">
        <v>0</v>
      </c>
      <c r="K934" t="str">
        <f>IF(customer[[#This Row],[IsChurned]]=1,"Churned","Active")</f>
        <v>Active</v>
      </c>
      <c r="L934" t="str">
        <f>TEXT(customer[[#This Row],[SubscriptionDate]],"mmm-yyyy")</f>
        <v>Apr-2022</v>
      </c>
      <c r="M934" s="1">
        <f ca="1">TODAY()-customer[[#This Row],[LastLoginDate]]</f>
        <v>1025</v>
      </c>
    </row>
    <row r="935" spans="1:13" x14ac:dyDescent="0.3">
      <c r="A935">
        <v>934</v>
      </c>
      <c r="B935" t="s">
        <v>948</v>
      </c>
      <c r="C935">
        <v>60</v>
      </c>
      <c r="D935" t="s">
        <v>14</v>
      </c>
      <c r="E935" t="s">
        <v>12</v>
      </c>
      <c r="F935" s="1">
        <v>45300</v>
      </c>
      <c r="G935" s="1">
        <v>45308</v>
      </c>
      <c r="H935">
        <v>281</v>
      </c>
      <c r="I935">
        <v>1.4</v>
      </c>
      <c r="J935">
        <v>1</v>
      </c>
      <c r="K935" t="str">
        <f>IF(customer[[#This Row],[IsChurned]]=1,"Churned","Active")</f>
        <v>Churned</v>
      </c>
      <c r="L935" t="str">
        <f>TEXT(customer[[#This Row],[SubscriptionDate]],"mmm-yyyy")</f>
        <v>Jan-2024</v>
      </c>
      <c r="M935" s="1">
        <f ca="1">TODAY()-customer[[#This Row],[LastLoginDate]]</f>
        <v>735</v>
      </c>
    </row>
    <row r="936" spans="1:13" x14ac:dyDescent="0.3">
      <c r="A936">
        <v>935</v>
      </c>
      <c r="B936" t="s">
        <v>949</v>
      </c>
      <c r="C936">
        <v>27</v>
      </c>
      <c r="D936" t="s">
        <v>11</v>
      </c>
      <c r="E936" t="s">
        <v>12</v>
      </c>
      <c r="F936" s="1">
        <v>44780</v>
      </c>
      <c r="G936" s="1">
        <v>44967</v>
      </c>
      <c r="H936">
        <v>394</v>
      </c>
      <c r="I936">
        <v>2.1</v>
      </c>
      <c r="J936">
        <v>0</v>
      </c>
      <c r="K936" t="str">
        <f>IF(customer[[#This Row],[IsChurned]]=1,"Churned","Active")</f>
        <v>Active</v>
      </c>
      <c r="L936" t="str">
        <f>TEXT(customer[[#This Row],[SubscriptionDate]],"mmm-yyyy")</f>
        <v>Aug-2022</v>
      </c>
      <c r="M936" s="1">
        <f ca="1">TODAY()-customer[[#This Row],[LastLoginDate]]</f>
        <v>1076</v>
      </c>
    </row>
    <row r="937" spans="1:13" x14ac:dyDescent="0.3">
      <c r="A937">
        <v>936</v>
      </c>
      <c r="B937" t="s">
        <v>950</v>
      </c>
      <c r="C937">
        <v>34</v>
      </c>
      <c r="D937" t="s">
        <v>11</v>
      </c>
      <c r="E937" t="s">
        <v>15</v>
      </c>
      <c r="F937" s="1">
        <v>44650</v>
      </c>
      <c r="G937" s="1">
        <v>44961</v>
      </c>
      <c r="H937">
        <v>136</v>
      </c>
      <c r="I937">
        <v>3.3</v>
      </c>
      <c r="J937">
        <v>1</v>
      </c>
      <c r="K937" t="str">
        <f>IF(customer[[#This Row],[IsChurned]]=1,"Churned","Active")</f>
        <v>Churned</v>
      </c>
      <c r="L937" t="str">
        <f>TEXT(customer[[#This Row],[SubscriptionDate]],"mmm-yyyy")</f>
        <v>Mar-2022</v>
      </c>
      <c r="M937" s="1">
        <f ca="1">TODAY()-customer[[#This Row],[LastLoginDate]]</f>
        <v>1082</v>
      </c>
    </row>
    <row r="938" spans="1:13" x14ac:dyDescent="0.3">
      <c r="A938">
        <v>937</v>
      </c>
      <c r="B938" t="s">
        <v>951</v>
      </c>
      <c r="C938">
        <v>65</v>
      </c>
      <c r="D938" t="s">
        <v>14</v>
      </c>
      <c r="E938" t="s">
        <v>12</v>
      </c>
      <c r="F938" s="1">
        <v>45301</v>
      </c>
      <c r="G938" s="1">
        <v>45542</v>
      </c>
      <c r="H938">
        <v>335</v>
      </c>
      <c r="I938">
        <v>2.8</v>
      </c>
      <c r="J938">
        <v>1</v>
      </c>
      <c r="K938" t="str">
        <f>IF(customer[[#This Row],[IsChurned]]=1,"Churned","Active")</f>
        <v>Churned</v>
      </c>
      <c r="L938" t="str">
        <f>TEXT(customer[[#This Row],[SubscriptionDate]],"mmm-yyyy")</f>
        <v>Jan-2024</v>
      </c>
      <c r="M938" s="1">
        <f ca="1">TODAY()-customer[[#This Row],[LastLoginDate]]</f>
        <v>501</v>
      </c>
    </row>
    <row r="939" spans="1:13" x14ac:dyDescent="0.3">
      <c r="A939">
        <v>938</v>
      </c>
      <c r="B939" t="s">
        <v>952</v>
      </c>
      <c r="C939">
        <v>50</v>
      </c>
      <c r="D939" t="s">
        <v>11</v>
      </c>
      <c r="E939" t="s">
        <v>18</v>
      </c>
      <c r="F939" s="1">
        <v>44797</v>
      </c>
      <c r="G939" s="1">
        <v>44829</v>
      </c>
      <c r="H939">
        <v>145</v>
      </c>
      <c r="I939">
        <v>3.2</v>
      </c>
      <c r="J939">
        <v>1</v>
      </c>
      <c r="K939" t="str">
        <f>IF(customer[[#This Row],[IsChurned]]=1,"Churned","Active")</f>
        <v>Churned</v>
      </c>
      <c r="L939" t="str">
        <f>TEXT(customer[[#This Row],[SubscriptionDate]],"mmm-yyyy")</f>
        <v>Aug-2022</v>
      </c>
      <c r="M939" s="1">
        <f ca="1">TODAY()-customer[[#This Row],[LastLoginDate]]</f>
        <v>1214</v>
      </c>
    </row>
    <row r="940" spans="1:13" x14ac:dyDescent="0.3">
      <c r="A940">
        <v>939</v>
      </c>
      <c r="B940" t="s">
        <v>953</v>
      </c>
      <c r="C940">
        <v>20</v>
      </c>
      <c r="D940" t="s">
        <v>11</v>
      </c>
      <c r="E940" t="s">
        <v>18</v>
      </c>
      <c r="F940" s="1">
        <v>45368</v>
      </c>
      <c r="G940" s="1">
        <v>45711</v>
      </c>
      <c r="H940">
        <v>182</v>
      </c>
      <c r="I940">
        <v>4.4000000000000004</v>
      </c>
      <c r="J940">
        <v>0</v>
      </c>
      <c r="K940" t="str">
        <f>IF(customer[[#This Row],[IsChurned]]=1,"Churned","Active")</f>
        <v>Active</v>
      </c>
      <c r="L940" t="str">
        <f>TEXT(customer[[#This Row],[SubscriptionDate]],"mmm-yyyy")</f>
        <v>Mar-2024</v>
      </c>
      <c r="M940" s="1">
        <f ca="1">TODAY()-customer[[#This Row],[LastLoginDate]]</f>
        <v>332</v>
      </c>
    </row>
    <row r="941" spans="1:13" x14ac:dyDescent="0.3">
      <c r="A941">
        <v>940</v>
      </c>
      <c r="B941" t="s">
        <v>954</v>
      </c>
      <c r="C941">
        <v>30</v>
      </c>
      <c r="D941" t="s">
        <v>11</v>
      </c>
      <c r="E941" t="s">
        <v>12</v>
      </c>
      <c r="F941" s="1">
        <v>45109</v>
      </c>
      <c r="G941" s="1">
        <v>45194</v>
      </c>
      <c r="H941">
        <v>171</v>
      </c>
      <c r="I941">
        <v>3.7</v>
      </c>
      <c r="J941">
        <v>1</v>
      </c>
      <c r="K941" t="str">
        <f>IF(customer[[#This Row],[IsChurned]]=1,"Churned","Active")</f>
        <v>Churned</v>
      </c>
      <c r="L941" t="str">
        <f>TEXT(customer[[#This Row],[SubscriptionDate]],"mmm-yyyy")</f>
        <v>Jul-2023</v>
      </c>
      <c r="M941" s="1">
        <f ca="1">TODAY()-customer[[#This Row],[LastLoginDate]]</f>
        <v>849</v>
      </c>
    </row>
    <row r="942" spans="1:13" x14ac:dyDescent="0.3">
      <c r="A942">
        <v>941</v>
      </c>
      <c r="B942" t="s">
        <v>955</v>
      </c>
      <c r="C942">
        <v>44</v>
      </c>
      <c r="D942" t="s">
        <v>14</v>
      </c>
      <c r="E942" t="s">
        <v>18</v>
      </c>
      <c r="F942" s="1">
        <v>44661</v>
      </c>
      <c r="G942" s="1">
        <v>44953</v>
      </c>
      <c r="H942">
        <v>187</v>
      </c>
      <c r="I942">
        <v>1.4</v>
      </c>
      <c r="J942">
        <v>0</v>
      </c>
      <c r="K942" t="str">
        <f>IF(customer[[#This Row],[IsChurned]]=1,"Churned","Active")</f>
        <v>Active</v>
      </c>
      <c r="L942" t="str">
        <f>TEXT(customer[[#This Row],[SubscriptionDate]],"mmm-yyyy")</f>
        <v>Apr-2022</v>
      </c>
      <c r="M942" s="1">
        <f ca="1">TODAY()-customer[[#This Row],[LastLoginDate]]</f>
        <v>1090</v>
      </c>
    </row>
    <row r="943" spans="1:13" x14ac:dyDescent="0.3">
      <c r="A943">
        <v>942</v>
      </c>
      <c r="B943" t="s">
        <v>956</v>
      </c>
      <c r="C943">
        <v>65</v>
      </c>
      <c r="D943" t="s">
        <v>14</v>
      </c>
      <c r="E943" t="s">
        <v>15</v>
      </c>
      <c r="F943" s="1">
        <v>45431</v>
      </c>
      <c r="G943" s="1">
        <v>45725</v>
      </c>
      <c r="H943">
        <v>490</v>
      </c>
      <c r="I943">
        <v>1.4</v>
      </c>
      <c r="J943">
        <v>1</v>
      </c>
      <c r="K943" t="str">
        <f>IF(customer[[#This Row],[IsChurned]]=1,"Churned","Active")</f>
        <v>Churned</v>
      </c>
      <c r="L943" t="str">
        <f>TEXT(customer[[#This Row],[SubscriptionDate]],"mmm-yyyy")</f>
        <v>May-2024</v>
      </c>
      <c r="M943" s="1">
        <f ca="1">TODAY()-customer[[#This Row],[LastLoginDate]]</f>
        <v>318</v>
      </c>
    </row>
    <row r="944" spans="1:13" x14ac:dyDescent="0.3">
      <c r="A944">
        <v>943</v>
      </c>
      <c r="B944" t="s">
        <v>957</v>
      </c>
      <c r="C944">
        <v>41</v>
      </c>
      <c r="D944" t="s">
        <v>11</v>
      </c>
      <c r="E944" t="s">
        <v>18</v>
      </c>
      <c r="F944" s="1">
        <v>45229</v>
      </c>
      <c r="G944" s="1">
        <v>45520</v>
      </c>
      <c r="H944">
        <v>169</v>
      </c>
      <c r="I944">
        <v>1.3</v>
      </c>
      <c r="J944">
        <v>1</v>
      </c>
      <c r="K944" t="str">
        <f>IF(customer[[#This Row],[IsChurned]]=1,"Churned","Active")</f>
        <v>Churned</v>
      </c>
      <c r="L944" t="str">
        <f>TEXT(customer[[#This Row],[SubscriptionDate]],"mmm-yyyy")</f>
        <v>Oct-2023</v>
      </c>
      <c r="M944" s="1">
        <f ca="1">TODAY()-customer[[#This Row],[LastLoginDate]]</f>
        <v>523</v>
      </c>
    </row>
    <row r="945" spans="1:13" x14ac:dyDescent="0.3">
      <c r="A945">
        <v>944</v>
      </c>
      <c r="B945" t="s">
        <v>958</v>
      </c>
      <c r="C945">
        <v>19</v>
      </c>
      <c r="D945" t="s">
        <v>14</v>
      </c>
      <c r="E945" t="s">
        <v>15</v>
      </c>
      <c r="F945" s="1">
        <v>45405</v>
      </c>
      <c r="G945" s="1">
        <v>45709</v>
      </c>
      <c r="H945">
        <v>221</v>
      </c>
      <c r="I945">
        <v>3.2</v>
      </c>
      <c r="J945">
        <v>0</v>
      </c>
      <c r="K945" t="str">
        <f>IF(customer[[#This Row],[IsChurned]]=1,"Churned","Active")</f>
        <v>Active</v>
      </c>
      <c r="L945" t="str">
        <f>TEXT(customer[[#This Row],[SubscriptionDate]],"mmm-yyyy")</f>
        <v>Apr-2024</v>
      </c>
      <c r="M945" s="1">
        <f ca="1">TODAY()-customer[[#This Row],[LastLoginDate]]</f>
        <v>334</v>
      </c>
    </row>
    <row r="946" spans="1:13" x14ac:dyDescent="0.3">
      <c r="A946">
        <v>945</v>
      </c>
      <c r="B946" t="s">
        <v>959</v>
      </c>
      <c r="C946">
        <v>26</v>
      </c>
      <c r="D946" t="s">
        <v>11</v>
      </c>
      <c r="E946" t="s">
        <v>12</v>
      </c>
      <c r="F946" s="1">
        <v>44927</v>
      </c>
      <c r="G946" s="1">
        <v>44931</v>
      </c>
      <c r="H946">
        <v>163</v>
      </c>
      <c r="I946">
        <v>2</v>
      </c>
      <c r="J946">
        <v>1</v>
      </c>
      <c r="K946" t="str">
        <f>IF(customer[[#This Row],[IsChurned]]=1,"Churned","Active")</f>
        <v>Churned</v>
      </c>
      <c r="L946" t="str">
        <f>TEXT(customer[[#This Row],[SubscriptionDate]],"mmm-yyyy")</f>
        <v>Jan-2023</v>
      </c>
      <c r="M946" s="1">
        <f ca="1">TODAY()-customer[[#This Row],[LastLoginDate]]</f>
        <v>1112</v>
      </c>
    </row>
    <row r="947" spans="1:13" x14ac:dyDescent="0.3">
      <c r="A947">
        <v>946</v>
      </c>
      <c r="B947" t="s">
        <v>960</v>
      </c>
      <c r="C947">
        <v>44</v>
      </c>
      <c r="D947" t="s">
        <v>11</v>
      </c>
      <c r="E947" t="s">
        <v>12</v>
      </c>
      <c r="F947" s="1">
        <v>44647</v>
      </c>
      <c r="G947" s="1">
        <v>44768</v>
      </c>
      <c r="H947">
        <v>252</v>
      </c>
      <c r="I947">
        <v>1.6</v>
      </c>
      <c r="J947">
        <v>0</v>
      </c>
      <c r="K947" t="str">
        <f>IF(customer[[#This Row],[IsChurned]]=1,"Churned","Active")</f>
        <v>Active</v>
      </c>
      <c r="L947" t="str">
        <f>TEXT(customer[[#This Row],[SubscriptionDate]],"mmm-yyyy")</f>
        <v>Mar-2022</v>
      </c>
      <c r="M947" s="1">
        <f ca="1">TODAY()-customer[[#This Row],[LastLoginDate]]</f>
        <v>1275</v>
      </c>
    </row>
    <row r="948" spans="1:13" x14ac:dyDescent="0.3">
      <c r="A948">
        <v>947</v>
      </c>
      <c r="B948" t="s">
        <v>961</v>
      </c>
      <c r="C948">
        <v>54</v>
      </c>
      <c r="D948" t="s">
        <v>14</v>
      </c>
      <c r="E948" t="s">
        <v>15</v>
      </c>
      <c r="F948" s="1">
        <v>44784</v>
      </c>
      <c r="G948" s="1">
        <v>44879</v>
      </c>
      <c r="H948">
        <v>285</v>
      </c>
      <c r="I948">
        <v>1.7</v>
      </c>
      <c r="J948">
        <v>1</v>
      </c>
      <c r="K948" t="str">
        <f>IF(customer[[#This Row],[IsChurned]]=1,"Churned","Active")</f>
        <v>Churned</v>
      </c>
      <c r="L948" t="str">
        <f>TEXT(customer[[#This Row],[SubscriptionDate]],"mmm-yyyy")</f>
        <v>Aug-2022</v>
      </c>
      <c r="M948" s="1">
        <f ca="1">TODAY()-customer[[#This Row],[LastLoginDate]]</f>
        <v>1164</v>
      </c>
    </row>
    <row r="949" spans="1:13" x14ac:dyDescent="0.3">
      <c r="A949">
        <v>948</v>
      </c>
      <c r="B949" t="s">
        <v>962</v>
      </c>
      <c r="C949">
        <v>65</v>
      </c>
      <c r="D949" t="s">
        <v>11</v>
      </c>
      <c r="E949" t="s">
        <v>15</v>
      </c>
      <c r="F949" s="1">
        <v>45276</v>
      </c>
      <c r="G949" s="1">
        <v>45374</v>
      </c>
      <c r="H949">
        <v>296</v>
      </c>
      <c r="I949">
        <v>3.5</v>
      </c>
      <c r="J949">
        <v>1</v>
      </c>
      <c r="K949" t="str">
        <f>IF(customer[[#This Row],[IsChurned]]=1,"Churned","Active")</f>
        <v>Churned</v>
      </c>
      <c r="L949" t="str">
        <f>TEXT(customer[[#This Row],[SubscriptionDate]],"mmm-yyyy")</f>
        <v>Dec-2023</v>
      </c>
      <c r="M949" s="1">
        <f ca="1">TODAY()-customer[[#This Row],[LastLoginDate]]</f>
        <v>669</v>
      </c>
    </row>
    <row r="950" spans="1:13" x14ac:dyDescent="0.3">
      <c r="A950">
        <v>949</v>
      </c>
      <c r="B950" t="s">
        <v>963</v>
      </c>
      <c r="C950">
        <v>23</v>
      </c>
      <c r="D950" t="s">
        <v>14</v>
      </c>
      <c r="E950" t="s">
        <v>18</v>
      </c>
      <c r="F950" s="1">
        <v>44982</v>
      </c>
      <c r="G950" s="1">
        <v>44998</v>
      </c>
      <c r="H950">
        <v>243</v>
      </c>
      <c r="I950">
        <v>2.6</v>
      </c>
      <c r="J950">
        <v>0</v>
      </c>
      <c r="K950" t="str">
        <f>IF(customer[[#This Row],[IsChurned]]=1,"Churned","Active")</f>
        <v>Active</v>
      </c>
      <c r="L950" t="str">
        <f>TEXT(customer[[#This Row],[SubscriptionDate]],"mmm-yyyy")</f>
        <v>Feb-2023</v>
      </c>
      <c r="M950" s="1">
        <f ca="1">TODAY()-customer[[#This Row],[LastLoginDate]]</f>
        <v>1045</v>
      </c>
    </row>
    <row r="951" spans="1:13" x14ac:dyDescent="0.3">
      <c r="A951">
        <v>950</v>
      </c>
      <c r="B951" t="s">
        <v>964</v>
      </c>
      <c r="C951">
        <v>32</v>
      </c>
      <c r="D951" t="s">
        <v>14</v>
      </c>
      <c r="E951" t="s">
        <v>15</v>
      </c>
      <c r="F951" s="1">
        <v>44705</v>
      </c>
      <c r="G951" s="1">
        <v>44762</v>
      </c>
      <c r="H951">
        <v>62</v>
      </c>
      <c r="I951">
        <v>4.4000000000000004</v>
      </c>
      <c r="J951">
        <v>0</v>
      </c>
      <c r="K951" t="str">
        <f>IF(customer[[#This Row],[IsChurned]]=1,"Churned","Active")</f>
        <v>Active</v>
      </c>
      <c r="L951" t="str">
        <f>TEXT(customer[[#This Row],[SubscriptionDate]],"mmm-yyyy")</f>
        <v>May-2022</v>
      </c>
      <c r="M951" s="1">
        <f ca="1">TODAY()-customer[[#This Row],[LastLoginDate]]</f>
        <v>1281</v>
      </c>
    </row>
    <row r="952" spans="1:13" x14ac:dyDescent="0.3">
      <c r="A952">
        <v>951</v>
      </c>
      <c r="B952" t="s">
        <v>965</v>
      </c>
      <c r="C952">
        <v>46</v>
      </c>
      <c r="D952" t="s">
        <v>14</v>
      </c>
      <c r="E952" t="s">
        <v>18</v>
      </c>
      <c r="F952" s="1">
        <v>45100</v>
      </c>
      <c r="G952" s="1">
        <v>45112</v>
      </c>
      <c r="H952">
        <v>319</v>
      </c>
      <c r="I952">
        <v>4</v>
      </c>
      <c r="J952">
        <v>1</v>
      </c>
      <c r="K952" t="str">
        <f>IF(customer[[#This Row],[IsChurned]]=1,"Churned","Active")</f>
        <v>Churned</v>
      </c>
      <c r="L952" t="str">
        <f>TEXT(customer[[#This Row],[SubscriptionDate]],"mmm-yyyy")</f>
        <v>Jun-2023</v>
      </c>
      <c r="M952" s="1">
        <f ca="1">TODAY()-customer[[#This Row],[LastLoginDate]]</f>
        <v>931</v>
      </c>
    </row>
    <row r="953" spans="1:13" x14ac:dyDescent="0.3">
      <c r="A953">
        <v>952</v>
      </c>
      <c r="B953" t="s">
        <v>966</v>
      </c>
      <c r="C953">
        <v>58</v>
      </c>
      <c r="D953" t="s">
        <v>11</v>
      </c>
      <c r="E953" t="s">
        <v>12</v>
      </c>
      <c r="F953" s="1">
        <v>45288</v>
      </c>
      <c r="G953" s="1">
        <v>45381</v>
      </c>
      <c r="H953">
        <v>370</v>
      </c>
      <c r="I953">
        <v>3.4</v>
      </c>
      <c r="J953">
        <v>0</v>
      </c>
      <c r="K953" t="str">
        <f>IF(customer[[#This Row],[IsChurned]]=1,"Churned","Active")</f>
        <v>Active</v>
      </c>
      <c r="L953" t="str">
        <f>TEXT(customer[[#This Row],[SubscriptionDate]],"mmm-yyyy")</f>
        <v>Dec-2023</v>
      </c>
      <c r="M953" s="1">
        <f ca="1">TODAY()-customer[[#This Row],[LastLoginDate]]</f>
        <v>662</v>
      </c>
    </row>
    <row r="954" spans="1:13" x14ac:dyDescent="0.3">
      <c r="A954">
        <v>953</v>
      </c>
      <c r="B954" t="s">
        <v>967</v>
      </c>
      <c r="C954">
        <v>25</v>
      </c>
      <c r="D954" t="s">
        <v>11</v>
      </c>
      <c r="E954" t="s">
        <v>18</v>
      </c>
      <c r="F954" s="1">
        <v>45255</v>
      </c>
      <c r="G954" s="1">
        <v>45321</v>
      </c>
      <c r="H954">
        <v>81</v>
      </c>
      <c r="I954">
        <v>4</v>
      </c>
      <c r="J954">
        <v>1</v>
      </c>
      <c r="K954" t="str">
        <f>IF(customer[[#This Row],[IsChurned]]=1,"Churned","Active")</f>
        <v>Churned</v>
      </c>
      <c r="L954" t="str">
        <f>TEXT(customer[[#This Row],[SubscriptionDate]],"mmm-yyyy")</f>
        <v>Nov-2023</v>
      </c>
      <c r="M954" s="1">
        <f ca="1">TODAY()-customer[[#This Row],[LastLoginDate]]</f>
        <v>722</v>
      </c>
    </row>
    <row r="955" spans="1:13" x14ac:dyDescent="0.3">
      <c r="A955">
        <v>954</v>
      </c>
      <c r="B955" t="s">
        <v>968</v>
      </c>
      <c r="C955">
        <v>52</v>
      </c>
      <c r="D955" t="s">
        <v>14</v>
      </c>
      <c r="E955" t="s">
        <v>12</v>
      </c>
      <c r="F955" s="1">
        <v>45406</v>
      </c>
      <c r="G955" s="1">
        <v>45566</v>
      </c>
      <c r="H955">
        <v>9</v>
      </c>
      <c r="I955">
        <v>1.7</v>
      </c>
      <c r="J955">
        <v>1</v>
      </c>
      <c r="K955" t="str">
        <f>IF(customer[[#This Row],[IsChurned]]=1,"Churned","Active")</f>
        <v>Churned</v>
      </c>
      <c r="L955" t="str">
        <f>TEXT(customer[[#This Row],[SubscriptionDate]],"mmm-yyyy")</f>
        <v>Apr-2024</v>
      </c>
      <c r="M955" s="1">
        <f ca="1">TODAY()-customer[[#This Row],[LastLoginDate]]</f>
        <v>477</v>
      </c>
    </row>
    <row r="956" spans="1:13" x14ac:dyDescent="0.3">
      <c r="A956">
        <v>955</v>
      </c>
      <c r="B956" t="s">
        <v>969</v>
      </c>
      <c r="C956">
        <v>54</v>
      </c>
      <c r="D956" t="s">
        <v>14</v>
      </c>
      <c r="E956" t="s">
        <v>15</v>
      </c>
      <c r="F956" s="1">
        <v>44784</v>
      </c>
      <c r="G956" s="1">
        <v>44870</v>
      </c>
      <c r="H956">
        <v>77</v>
      </c>
      <c r="I956">
        <v>1.8</v>
      </c>
      <c r="J956">
        <v>0</v>
      </c>
      <c r="K956" t="str">
        <f>IF(customer[[#This Row],[IsChurned]]=1,"Churned","Active")</f>
        <v>Active</v>
      </c>
      <c r="L956" t="str">
        <f>TEXT(customer[[#This Row],[SubscriptionDate]],"mmm-yyyy")</f>
        <v>Aug-2022</v>
      </c>
      <c r="M956" s="1">
        <f ca="1">TODAY()-customer[[#This Row],[LastLoginDate]]</f>
        <v>1173</v>
      </c>
    </row>
    <row r="957" spans="1:13" x14ac:dyDescent="0.3">
      <c r="A957">
        <v>956</v>
      </c>
      <c r="B957" t="s">
        <v>970</v>
      </c>
      <c r="C957">
        <v>39</v>
      </c>
      <c r="D957" t="s">
        <v>11</v>
      </c>
      <c r="E957" t="s">
        <v>15</v>
      </c>
      <c r="F957" s="1">
        <v>44938</v>
      </c>
      <c r="G957" s="1">
        <v>45142</v>
      </c>
      <c r="H957">
        <v>486</v>
      </c>
      <c r="I957">
        <v>4.8</v>
      </c>
      <c r="J957">
        <v>1</v>
      </c>
      <c r="K957" t="str">
        <f>IF(customer[[#This Row],[IsChurned]]=1,"Churned","Active")</f>
        <v>Churned</v>
      </c>
      <c r="L957" t="str">
        <f>TEXT(customer[[#This Row],[SubscriptionDate]],"mmm-yyyy")</f>
        <v>Jan-2023</v>
      </c>
      <c r="M957" s="1">
        <f ca="1">TODAY()-customer[[#This Row],[LastLoginDate]]</f>
        <v>901</v>
      </c>
    </row>
    <row r="958" spans="1:13" x14ac:dyDescent="0.3">
      <c r="A958">
        <v>957</v>
      </c>
      <c r="B958" t="s">
        <v>971</v>
      </c>
      <c r="C958">
        <v>58</v>
      </c>
      <c r="D958" t="s">
        <v>14</v>
      </c>
      <c r="E958" t="s">
        <v>12</v>
      </c>
      <c r="F958" s="1">
        <v>44622</v>
      </c>
      <c r="G958" s="1">
        <v>44842</v>
      </c>
      <c r="H958">
        <v>471</v>
      </c>
      <c r="I958">
        <v>2.1</v>
      </c>
      <c r="J958">
        <v>1</v>
      </c>
      <c r="K958" t="str">
        <f>IF(customer[[#This Row],[IsChurned]]=1,"Churned","Active")</f>
        <v>Churned</v>
      </c>
      <c r="L958" t="str">
        <f>TEXT(customer[[#This Row],[SubscriptionDate]],"mmm-yyyy")</f>
        <v>Mar-2022</v>
      </c>
      <c r="M958" s="1">
        <f ca="1">TODAY()-customer[[#This Row],[LastLoginDate]]</f>
        <v>1201</v>
      </c>
    </row>
    <row r="959" spans="1:13" x14ac:dyDescent="0.3">
      <c r="A959">
        <v>958</v>
      </c>
      <c r="B959" t="s">
        <v>972</v>
      </c>
      <c r="C959">
        <v>63</v>
      </c>
      <c r="D959" t="s">
        <v>11</v>
      </c>
      <c r="E959" t="s">
        <v>12</v>
      </c>
      <c r="F959" s="1">
        <v>44728</v>
      </c>
      <c r="G959" s="1">
        <v>44926</v>
      </c>
      <c r="H959">
        <v>399</v>
      </c>
      <c r="I959">
        <v>4.2</v>
      </c>
      <c r="J959">
        <v>1</v>
      </c>
      <c r="K959" t="str">
        <f>IF(customer[[#This Row],[IsChurned]]=1,"Churned","Active")</f>
        <v>Churned</v>
      </c>
      <c r="L959" t="str">
        <f>TEXT(customer[[#This Row],[SubscriptionDate]],"mmm-yyyy")</f>
        <v>Jun-2022</v>
      </c>
      <c r="M959" s="1">
        <f ca="1">TODAY()-customer[[#This Row],[LastLoginDate]]</f>
        <v>1117</v>
      </c>
    </row>
    <row r="960" spans="1:13" x14ac:dyDescent="0.3">
      <c r="A960">
        <v>959</v>
      </c>
      <c r="B960" t="s">
        <v>973</v>
      </c>
      <c r="C960">
        <v>36</v>
      </c>
      <c r="D960" t="s">
        <v>14</v>
      </c>
      <c r="E960" t="s">
        <v>15</v>
      </c>
      <c r="F960" s="1">
        <v>45044</v>
      </c>
      <c r="G960" s="1">
        <v>45295</v>
      </c>
      <c r="H960">
        <v>165</v>
      </c>
      <c r="I960">
        <v>1.1000000000000001</v>
      </c>
      <c r="J960">
        <v>0</v>
      </c>
      <c r="K960" t="str">
        <f>IF(customer[[#This Row],[IsChurned]]=1,"Churned","Active")</f>
        <v>Active</v>
      </c>
      <c r="L960" t="str">
        <f>TEXT(customer[[#This Row],[SubscriptionDate]],"mmm-yyyy")</f>
        <v>Apr-2023</v>
      </c>
      <c r="M960" s="1">
        <f ca="1">TODAY()-customer[[#This Row],[LastLoginDate]]</f>
        <v>748</v>
      </c>
    </row>
    <row r="961" spans="1:13" x14ac:dyDescent="0.3">
      <c r="A961">
        <v>960</v>
      </c>
      <c r="B961" t="s">
        <v>974</v>
      </c>
      <c r="C961">
        <v>26</v>
      </c>
      <c r="D961" t="s">
        <v>14</v>
      </c>
      <c r="E961" t="s">
        <v>18</v>
      </c>
      <c r="F961" s="1">
        <v>44970</v>
      </c>
      <c r="G961" s="1">
        <v>45000</v>
      </c>
      <c r="H961">
        <v>432</v>
      </c>
      <c r="I961">
        <v>3.6</v>
      </c>
      <c r="J961">
        <v>0</v>
      </c>
      <c r="K961" t="str">
        <f>IF(customer[[#This Row],[IsChurned]]=1,"Churned","Active")</f>
        <v>Active</v>
      </c>
      <c r="L961" t="str">
        <f>TEXT(customer[[#This Row],[SubscriptionDate]],"mmm-yyyy")</f>
        <v>Feb-2023</v>
      </c>
      <c r="M961" s="1">
        <f ca="1">TODAY()-customer[[#This Row],[LastLoginDate]]</f>
        <v>1043</v>
      </c>
    </row>
    <row r="962" spans="1:13" x14ac:dyDescent="0.3">
      <c r="A962">
        <v>961</v>
      </c>
      <c r="B962" t="s">
        <v>975</v>
      </c>
      <c r="C962">
        <v>22</v>
      </c>
      <c r="D962" t="s">
        <v>14</v>
      </c>
      <c r="E962" t="s">
        <v>18</v>
      </c>
      <c r="F962" s="1">
        <v>44746</v>
      </c>
      <c r="G962" s="1">
        <v>44753</v>
      </c>
      <c r="H962">
        <v>43</v>
      </c>
      <c r="I962">
        <v>3.6</v>
      </c>
      <c r="J962">
        <v>0</v>
      </c>
      <c r="K962" t="str">
        <f>IF(customer[[#This Row],[IsChurned]]=1,"Churned","Active")</f>
        <v>Active</v>
      </c>
      <c r="L962" t="str">
        <f>TEXT(customer[[#This Row],[SubscriptionDate]],"mmm-yyyy")</f>
        <v>Jul-2022</v>
      </c>
      <c r="M962" s="1">
        <f ca="1">TODAY()-customer[[#This Row],[LastLoginDate]]</f>
        <v>1290</v>
      </c>
    </row>
    <row r="963" spans="1:13" x14ac:dyDescent="0.3">
      <c r="A963">
        <v>962</v>
      </c>
      <c r="B963" t="s">
        <v>976</v>
      </c>
      <c r="C963">
        <v>24</v>
      </c>
      <c r="D963" t="s">
        <v>11</v>
      </c>
      <c r="E963" t="s">
        <v>12</v>
      </c>
      <c r="F963" s="1">
        <v>44780</v>
      </c>
      <c r="G963" s="1">
        <v>44861</v>
      </c>
      <c r="H963">
        <v>215</v>
      </c>
      <c r="I963">
        <v>2.7</v>
      </c>
      <c r="J963">
        <v>1</v>
      </c>
      <c r="K963" t="str">
        <f>IF(customer[[#This Row],[IsChurned]]=1,"Churned","Active")</f>
        <v>Churned</v>
      </c>
      <c r="L963" t="str">
        <f>TEXT(customer[[#This Row],[SubscriptionDate]],"mmm-yyyy")</f>
        <v>Aug-2022</v>
      </c>
      <c r="M963" s="1">
        <f ca="1">TODAY()-customer[[#This Row],[LastLoginDate]]</f>
        <v>1182</v>
      </c>
    </row>
    <row r="964" spans="1:13" x14ac:dyDescent="0.3">
      <c r="A964">
        <v>963</v>
      </c>
      <c r="B964" t="s">
        <v>977</v>
      </c>
      <c r="C964">
        <v>19</v>
      </c>
      <c r="D964" t="s">
        <v>14</v>
      </c>
      <c r="E964" t="s">
        <v>18</v>
      </c>
      <c r="F964" s="1">
        <v>45155</v>
      </c>
      <c r="G964" s="1">
        <v>45485</v>
      </c>
      <c r="H964">
        <v>210</v>
      </c>
      <c r="I964">
        <v>4.2</v>
      </c>
      <c r="J964">
        <v>0</v>
      </c>
      <c r="K964" t="str">
        <f>IF(customer[[#This Row],[IsChurned]]=1,"Churned","Active")</f>
        <v>Active</v>
      </c>
      <c r="L964" t="str">
        <f>TEXT(customer[[#This Row],[SubscriptionDate]],"mmm-yyyy")</f>
        <v>Aug-2023</v>
      </c>
      <c r="M964" s="1">
        <f ca="1">TODAY()-customer[[#This Row],[LastLoginDate]]</f>
        <v>558</v>
      </c>
    </row>
    <row r="965" spans="1:13" x14ac:dyDescent="0.3">
      <c r="A965">
        <v>964</v>
      </c>
      <c r="B965" t="s">
        <v>978</v>
      </c>
      <c r="C965">
        <v>54</v>
      </c>
      <c r="D965" t="s">
        <v>14</v>
      </c>
      <c r="E965" t="s">
        <v>12</v>
      </c>
      <c r="F965" s="1">
        <v>45166</v>
      </c>
      <c r="G965" s="1">
        <v>45230</v>
      </c>
      <c r="H965">
        <v>61</v>
      </c>
      <c r="I965">
        <v>3.6</v>
      </c>
      <c r="J965">
        <v>0</v>
      </c>
      <c r="K965" t="str">
        <f>IF(customer[[#This Row],[IsChurned]]=1,"Churned","Active")</f>
        <v>Active</v>
      </c>
      <c r="L965" t="str">
        <f>TEXT(customer[[#This Row],[SubscriptionDate]],"mmm-yyyy")</f>
        <v>Aug-2023</v>
      </c>
      <c r="M965" s="1">
        <f ca="1">TODAY()-customer[[#This Row],[LastLoginDate]]</f>
        <v>813</v>
      </c>
    </row>
    <row r="966" spans="1:13" x14ac:dyDescent="0.3">
      <c r="A966">
        <v>965</v>
      </c>
      <c r="B966" t="s">
        <v>979</v>
      </c>
      <c r="C966">
        <v>20</v>
      </c>
      <c r="D966" t="s">
        <v>11</v>
      </c>
      <c r="E966" t="s">
        <v>12</v>
      </c>
      <c r="F966" s="1">
        <v>44913</v>
      </c>
      <c r="G966" s="1">
        <v>44928</v>
      </c>
      <c r="H966">
        <v>446</v>
      </c>
      <c r="I966">
        <v>2.2999999999999998</v>
      </c>
      <c r="J966">
        <v>1</v>
      </c>
      <c r="K966" t="str">
        <f>IF(customer[[#This Row],[IsChurned]]=1,"Churned","Active")</f>
        <v>Churned</v>
      </c>
      <c r="L966" t="str">
        <f>TEXT(customer[[#This Row],[SubscriptionDate]],"mmm-yyyy")</f>
        <v>Dec-2022</v>
      </c>
      <c r="M966" s="1">
        <f ca="1">TODAY()-customer[[#This Row],[LastLoginDate]]</f>
        <v>1115</v>
      </c>
    </row>
    <row r="967" spans="1:13" x14ac:dyDescent="0.3">
      <c r="A967">
        <v>966</v>
      </c>
      <c r="B967" t="s">
        <v>980</v>
      </c>
      <c r="C967">
        <v>44</v>
      </c>
      <c r="D967" t="s">
        <v>14</v>
      </c>
      <c r="E967" t="s">
        <v>12</v>
      </c>
      <c r="F967" s="1">
        <v>45212</v>
      </c>
      <c r="G967" s="1">
        <v>45463</v>
      </c>
      <c r="H967">
        <v>234</v>
      </c>
      <c r="I967">
        <v>1.9</v>
      </c>
      <c r="J967">
        <v>1</v>
      </c>
      <c r="K967" t="str">
        <f>IF(customer[[#This Row],[IsChurned]]=1,"Churned","Active")</f>
        <v>Churned</v>
      </c>
      <c r="L967" t="str">
        <f>TEXT(customer[[#This Row],[SubscriptionDate]],"mmm-yyyy")</f>
        <v>Oct-2023</v>
      </c>
      <c r="M967" s="1">
        <f ca="1">TODAY()-customer[[#This Row],[LastLoginDate]]</f>
        <v>580</v>
      </c>
    </row>
    <row r="968" spans="1:13" x14ac:dyDescent="0.3">
      <c r="A968">
        <v>967</v>
      </c>
      <c r="B968" t="s">
        <v>981</v>
      </c>
      <c r="C968">
        <v>20</v>
      </c>
      <c r="D968" t="s">
        <v>11</v>
      </c>
      <c r="E968" t="s">
        <v>18</v>
      </c>
      <c r="F968" s="1">
        <v>45399</v>
      </c>
      <c r="G968" s="1">
        <v>45526</v>
      </c>
      <c r="H968">
        <v>216</v>
      </c>
      <c r="I968">
        <v>1.5</v>
      </c>
      <c r="J968">
        <v>0</v>
      </c>
      <c r="K968" t="str">
        <f>IF(customer[[#This Row],[IsChurned]]=1,"Churned","Active")</f>
        <v>Active</v>
      </c>
      <c r="L968" t="str">
        <f>TEXT(customer[[#This Row],[SubscriptionDate]],"mmm-yyyy")</f>
        <v>Apr-2024</v>
      </c>
      <c r="M968" s="1">
        <f ca="1">TODAY()-customer[[#This Row],[LastLoginDate]]</f>
        <v>517</v>
      </c>
    </row>
    <row r="969" spans="1:13" x14ac:dyDescent="0.3">
      <c r="A969">
        <v>968</v>
      </c>
      <c r="B969" t="s">
        <v>982</v>
      </c>
      <c r="C969">
        <v>21</v>
      </c>
      <c r="D969" t="s">
        <v>11</v>
      </c>
      <c r="E969" t="s">
        <v>15</v>
      </c>
      <c r="F969" s="1">
        <v>45344</v>
      </c>
      <c r="G969" s="1">
        <v>45444</v>
      </c>
      <c r="H969">
        <v>70</v>
      </c>
      <c r="I969">
        <v>1.2</v>
      </c>
      <c r="J969">
        <v>1</v>
      </c>
      <c r="K969" t="str">
        <f>IF(customer[[#This Row],[IsChurned]]=1,"Churned","Active")</f>
        <v>Churned</v>
      </c>
      <c r="L969" t="str">
        <f>TEXT(customer[[#This Row],[SubscriptionDate]],"mmm-yyyy")</f>
        <v>Feb-2024</v>
      </c>
      <c r="M969" s="1">
        <f ca="1">TODAY()-customer[[#This Row],[LastLoginDate]]</f>
        <v>599</v>
      </c>
    </row>
    <row r="970" spans="1:13" x14ac:dyDescent="0.3">
      <c r="A970">
        <v>969</v>
      </c>
      <c r="B970" t="s">
        <v>983</v>
      </c>
      <c r="C970">
        <v>35</v>
      </c>
      <c r="D970" t="s">
        <v>14</v>
      </c>
      <c r="E970" t="s">
        <v>18</v>
      </c>
      <c r="F970" s="1">
        <v>44631</v>
      </c>
      <c r="G970" s="1">
        <v>44908</v>
      </c>
      <c r="H970">
        <v>234</v>
      </c>
      <c r="I970">
        <v>1.6</v>
      </c>
      <c r="J970">
        <v>1</v>
      </c>
      <c r="K970" t="str">
        <f>IF(customer[[#This Row],[IsChurned]]=1,"Churned","Active")</f>
        <v>Churned</v>
      </c>
      <c r="L970" t="str">
        <f>TEXT(customer[[#This Row],[SubscriptionDate]],"mmm-yyyy")</f>
        <v>Mar-2022</v>
      </c>
      <c r="M970" s="1">
        <f ca="1">TODAY()-customer[[#This Row],[LastLoginDate]]</f>
        <v>1135</v>
      </c>
    </row>
    <row r="971" spans="1:13" x14ac:dyDescent="0.3">
      <c r="A971">
        <v>970</v>
      </c>
      <c r="B971" t="s">
        <v>984</v>
      </c>
      <c r="C971">
        <v>30</v>
      </c>
      <c r="D971" t="s">
        <v>11</v>
      </c>
      <c r="E971" t="s">
        <v>18</v>
      </c>
      <c r="F971" s="1">
        <v>45231</v>
      </c>
      <c r="G971" s="1">
        <v>45407</v>
      </c>
      <c r="H971">
        <v>491</v>
      </c>
      <c r="I971">
        <v>2.6</v>
      </c>
      <c r="J971">
        <v>1</v>
      </c>
      <c r="K971" t="str">
        <f>IF(customer[[#This Row],[IsChurned]]=1,"Churned","Active")</f>
        <v>Churned</v>
      </c>
      <c r="L971" t="str">
        <f>TEXT(customer[[#This Row],[SubscriptionDate]],"mmm-yyyy")</f>
        <v>Nov-2023</v>
      </c>
      <c r="M971" s="1">
        <f ca="1">TODAY()-customer[[#This Row],[LastLoginDate]]</f>
        <v>636</v>
      </c>
    </row>
    <row r="972" spans="1:13" x14ac:dyDescent="0.3">
      <c r="A972">
        <v>971</v>
      </c>
      <c r="B972" t="s">
        <v>985</v>
      </c>
      <c r="C972">
        <v>24</v>
      </c>
      <c r="D972" t="s">
        <v>11</v>
      </c>
      <c r="E972" t="s">
        <v>12</v>
      </c>
      <c r="F972" s="1">
        <v>45450</v>
      </c>
      <c r="G972" s="1">
        <v>45539</v>
      </c>
      <c r="H972">
        <v>59</v>
      </c>
      <c r="I972">
        <v>2.1</v>
      </c>
      <c r="J972">
        <v>1</v>
      </c>
      <c r="K972" t="str">
        <f>IF(customer[[#This Row],[IsChurned]]=1,"Churned","Active")</f>
        <v>Churned</v>
      </c>
      <c r="L972" t="str">
        <f>TEXT(customer[[#This Row],[SubscriptionDate]],"mmm-yyyy")</f>
        <v>Jun-2024</v>
      </c>
      <c r="M972" s="1">
        <f ca="1">TODAY()-customer[[#This Row],[LastLoginDate]]</f>
        <v>504</v>
      </c>
    </row>
    <row r="973" spans="1:13" x14ac:dyDescent="0.3">
      <c r="A973">
        <v>972</v>
      </c>
      <c r="B973" t="s">
        <v>986</v>
      </c>
      <c r="C973">
        <v>31</v>
      </c>
      <c r="D973" t="s">
        <v>14</v>
      </c>
      <c r="E973" t="s">
        <v>18</v>
      </c>
      <c r="F973" s="1">
        <v>44716</v>
      </c>
      <c r="G973" s="1">
        <v>44908</v>
      </c>
      <c r="H973">
        <v>233</v>
      </c>
      <c r="I973">
        <v>4.7</v>
      </c>
      <c r="J973">
        <v>0</v>
      </c>
      <c r="K973" t="str">
        <f>IF(customer[[#This Row],[IsChurned]]=1,"Churned","Active")</f>
        <v>Active</v>
      </c>
      <c r="L973" t="str">
        <f>TEXT(customer[[#This Row],[SubscriptionDate]],"mmm-yyyy")</f>
        <v>Jun-2022</v>
      </c>
      <c r="M973" s="1">
        <f ca="1">TODAY()-customer[[#This Row],[LastLoginDate]]</f>
        <v>1135</v>
      </c>
    </row>
    <row r="974" spans="1:13" x14ac:dyDescent="0.3">
      <c r="A974">
        <v>973</v>
      </c>
      <c r="B974" t="s">
        <v>987</v>
      </c>
      <c r="C974">
        <v>63</v>
      </c>
      <c r="D974" t="s">
        <v>11</v>
      </c>
      <c r="E974" t="s">
        <v>18</v>
      </c>
      <c r="F974" s="1">
        <v>44919</v>
      </c>
      <c r="G974" s="1">
        <v>45049</v>
      </c>
      <c r="H974">
        <v>209</v>
      </c>
      <c r="I974">
        <v>4.3</v>
      </c>
      <c r="J974">
        <v>0</v>
      </c>
      <c r="K974" t="str">
        <f>IF(customer[[#This Row],[IsChurned]]=1,"Churned","Active")</f>
        <v>Active</v>
      </c>
      <c r="L974" t="str">
        <f>TEXT(customer[[#This Row],[SubscriptionDate]],"mmm-yyyy")</f>
        <v>Dec-2022</v>
      </c>
      <c r="M974" s="1">
        <f ca="1">TODAY()-customer[[#This Row],[LastLoginDate]]</f>
        <v>994</v>
      </c>
    </row>
    <row r="975" spans="1:13" x14ac:dyDescent="0.3">
      <c r="A975">
        <v>974</v>
      </c>
      <c r="B975" t="s">
        <v>988</v>
      </c>
      <c r="C975">
        <v>32</v>
      </c>
      <c r="D975" t="s">
        <v>14</v>
      </c>
      <c r="E975" t="s">
        <v>18</v>
      </c>
      <c r="F975" s="1">
        <v>45378</v>
      </c>
      <c r="G975" s="1">
        <v>45414</v>
      </c>
      <c r="H975">
        <v>359</v>
      </c>
      <c r="I975">
        <v>3.7</v>
      </c>
      <c r="J975">
        <v>1</v>
      </c>
      <c r="K975" t="str">
        <f>IF(customer[[#This Row],[IsChurned]]=1,"Churned","Active")</f>
        <v>Churned</v>
      </c>
      <c r="L975" t="str">
        <f>TEXT(customer[[#This Row],[SubscriptionDate]],"mmm-yyyy")</f>
        <v>Mar-2024</v>
      </c>
      <c r="M975" s="1">
        <f ca="1">TODAY()-customer[[#This Row],[LastLoginDate]]</f>
        <v>629</v>
      </c>
    </row>
    <row r="976" spans="1:13" x14ac:dyDescent="0.3">
      <c r="A976">
        <v>975</v>
      </c>
      <c r="B976" t="s">
        <v>989</v>
      </c>
      <c r="C976">
        <v>26</v>
      </c>
      <c r="D976" t="s">
        <v>14</v>
      </c>
      <c r="E976" t="s">
        <v>15</v>
      </c>
      <c r="F976" s="1">
        <v>45252</v>
      </c>
      <c r="G976" s="1">
        <v>45387</v>
      </c>
      <c r="H976">
        <v>91</v>
      </c>
      <c r="I976">
        <v>2.2999999999999998</v>
      </c>
      <c r="J976">
        <v>0</v>
      </c>
      <c r="K976" t="str">
        <f>IF(customer[[#This Row],[IsChurned]]=1,"Churned","Active")</f>
        <v>Active</v>
      </c>
      <c r="L976" t="str">
        <f>TEXT(customer[[#This Row],[SubscriptionDate]],"mmm-yyyy")</f>
        <v>Nov-2023</v>
      </c>
      <c r="M976" s="1">
        <f ca="1">TODAY()-customer[[#This Row],[LastLoginDate]]</f>
        <v>656</v>
      </c>
    </row>
    <row r="977" spans="1:13" x14ac:dyDescent="0.3">
      <c r="A977">
        <v>976</v>
      </c>
      <c r="B977" t="s">
        <v>990</v>
      </c>
      <c r="C977">
        <v>52</v>
      </c>
      <c r="D977" t="s">
        <v>11</v>
      </c>
      <c r="E977" t="s">
        <v>15</v>
      </c>
      <c r="F977" s="1">
        <v>45237</v>
      </c>
      <c r="G977" s="1">
        <v>45468</v>
      </c>
      <c r="H977">
        <v>184</v>
      </c>
      <c r="I977">
        <v>4.9000000000000004</v>
      </c>
      <c r="J977">
        <v>1</v>
      </c>
      <c r="K977" t="str">
        <f>IF(customer[[#This Row],[IsChurned]]=1,"Churned","Active")</f>
        <v>Churned</v>
      </c>
      <c r="L977" t="str">
        <f>TEXT(customer[[#This Row],[SubscriptionDate]],"mmm-yyyy")</f>
        <v>Nov-2023</v>
      </c>
      <c r="M977" s="1">
        <f ca="1">TODAY()-customer[[#This Row],[LastLoginDate]]</f>
        <v>575</v>
      </c>
    </row>
    <row r="978" spans="1:13" x14ac:dyDescent="0.3">
      <c r="A978">
        <v>977</v>
      </c>
      <c r="B978" t="s">
        <v>991</v>
      </c>
      <c r="C978">
        <v>58</v>
      </c>
      <c r="D978" t="s">
        <v>14</v>
      </c>
      <c r="E978" t="s">
        <v>18</v>
      </c>
      <c r="F978" s="1">
        <v>44904</v>
      </c>
      <c r="G978" s="1">
        <v>45132</v>
      </c>
      <c r="H978">
        <v>203</v>
      </c>
      <c r="I978">
        <v>4.5</v>
      </c>
      <c r="J978">
        <v>0</v>
      </c>
      <c r="K978" t="str">
        <f>IF(customer[[#This Row],[IsChurned]]=1,"Churned","Active")</f>
        <v>Active</v>
      </c>
      <c r="L978" t="str">
        <f>TEXT(customer[[#This Row],[SubscriptionDate]],"mmm-yyyy")</f>
        <v>Dec-2022</v>
      </c>
      <c r="M978" s="1">
        <f ca="1">TODAY()-customer[[#This Row],[LastLoginDate]]</f>
        <v>911</v>
      </c>
    </row>
    <row r="979" spans="1:13" x14ac:dyDescent="0.3">
      <c r="A979">
        <v>978</v>
      </c>
      <c r="B979" t="s">
        <v>992</v>
      </c>
      <c r="C979">
        <v>32</v>
      </c>
      <c r="D979" t="s">
        <v>11</v>
      </c>
      <c r="E979" t="s">
        <v>18</v>
      </c>
      <c r="F979" s="1">
        <v>45280</v>
      </c>
      <c r="G979" s="1">
        <v>45392</v>
      </c>
      <c r="H979">
        <v>6</v>
      </c>
      <c r="I979">
        <v>2.8</v>
      </c>
      <c r="J979">
        <v>1</v>
      </c>
      <c r="K979" t="str">
        <f>IF(customer[[#This Row],[IsChurned]]=1,"Churned","Active")</f>
        <v>Churned</v>
      </c>
      <c r="L979" t="str">
        <f>TEXT(customer[[#This Row],[SubscriptionDate]],"mmm-yyyy")</f>
        <v>Dec-2023</v>
      </c>
      <c r="M979" s="1">
        <f ca="1">TODAY()-customer[[#This Row],[LastLoginDate]]</f>
        <v>651</v>
      </c>
    </row>
    <row r="980" spans="1:13" x14ac:dyDescent="0.3">
      <c r="A980">
        <v>979</v>
      </c>
      <c r="B980" t="s">
        <v>993</v>
      </c>
      <c r="C980">
        <v>23</v>
      </c>
      <c r="D980" t="s">
        <v>11</v>
      </c>
      <c r="E980" t="s">
        <v>12</v>
      </c>
      <c r="F980" s="1">
        <v>44882</v>
      </c>
      <c r="G980" s="1">
        <v>45069</v>
      </c>
      <c r="H980">
        <v>389</v>
      </c>
      <c r="I980">
        <v>2.2000000000000002</v>
      </c>
      <c r="J980">
        <v>1</v>
      </c>
      <c r="K980" t="str">
        <f>IF(customer[[#This Row],[IsChurned]]=1,"Churned","Active")</f>
        <v>Churned</v>
      </c>
      <c r="L980" t="str">
        <f>TEXT(customer[[#This Row],[SubscriptionDate]],"mmm-yyyy")</f>
        <v>Nov-2022</v>
      </c>
      <c r="M980" s="1">
        <f ca="1">TODAY()-customer[[#This Row],[LastLoginDate]]</f>
        <v>974</v>
      </c>
    </row>
    <row r="981" spans="1:13" x14ac:dyDescent="0.3">
      <c r="A981">
        <v>980</v>
      </c>
      <c r="B981" t="s">
        <v>994</v>
      </c>
      <c r="C981">
        <v>65</v>
      </c>
      <c r="D981" t="s">
        <v>11</v>
      </c>
      <c r="E981" t="s">
        <v>18</v>
      </c>
      <c r="F981" s="1">
        <v>45027</v>
      </c>
      <c r="G981" s="1">
        <v>45145</v>
      </c>
      <c r="H981">
        <v>210</v>
      </c>
      <c r="I981">
        <v>2.6</v>
      </c>
      <c r="J981">
        <v>1</v>
      </c>
      <c r="K981" t="str">
        <f>IF(customer[[#This Row],[IsChurned]]=1,"Churned","Active")</f>
        <v>Churned</v>
      </c>
      <c r="L981" t="str">
        <f>TEXT(customer[[#This Row],[SubscriptionDate]],"mmm-yyyy")</f>
        <v>Apr-2023</v>
      </c>
      <c r="M981" s="1">
        <f ca="1">TODAY()-customer[[#This Row],[LastLoginDate]]</f>
        <v>898</v>
      </c>
    </row>
    <row r="982" spans="1:13" x14ac:dyDescent="0.3">
      <c r="A982">
        <v>981</v>
      </c>
      <c r="B982" t="s">
        <v>995</v>
      </c>
      <c r="C982">
        <v>43</v>
      </c>
      <c r="D982" t="s">
        <v>14</v>
      </c>
      <c r="E982" t="s">
        <v>18</v>
      </c>
      <c r="F982" s="1">
        <v>45218</v>
      </c>
      <c r="G982" s="1">
        <v>45274</v>
      </c>
      <c r="H982">
        <v>450</v>
      </c>
      <c r="I982">
        <v>3.4</v>
      </c>
      <c r="J982">
        <v>1</v>
      </c>
      <c r="K982" t="str">
        <f>IF(customer[[#This Row],[IsChurned]]=1,"Churned","Active")</f>
        <v>Churned</v>
      </c>
      <c r="L982" t="str">
        <f>TEXT(customer[[#This Row],[SubscriptionDate]],"mmm-yyyy")</f>
        <v>Oct-2023</v>
      </c>
      <c r="M982" s="1">
        <f ca="1">TODAY()-customer[[#This Row],[LastLoginDate]]</f>
        <v>769</v>
      </c>
    </row>
    <row r="983" spans="1:13" x14ac:dyDescent="0.3">
      <c r="A983">
        <v>982</v>
      </c>
      <c r="B983" t="s">
        <v>996</v>
      </c>
      <c r="C983">
        <v>33</v>
      </c>
      <c r="D983" t="s">
        <v>14</v>
      </c>
      <c r="E983" t="s">
        <v>12</v>
      </c>
      <c r="F983" s="1">
        <v>45300</v>
      </c>
      <c r="G983" s="1">
        <v>45398</v>
      </c>
      <c r="H983">
        <v>44</v>
      </c>
      <c r="I983">
        <v>2.7</v>
      </c>
      <c r="J983">
        <v>0</v>
      </c>
      <c r="K983" t="str">
        <f>IF(customer[[#This Row],[IsChurned]]=1,"Churned","Active")</f>
        <v>Active</v>
      </c>
      <c r="L983" t="str">
        <f>TEXT(customer[[#This Row],[SubscriptionDate]],"mmm-yyyy")</f>
        <v>Jan-2024</v>
      </c>
      <c r="M983" s="1">
        <f ca="1">TODAY()-customer[[#This Row],[LastLoginDate]]</f>
        <v>645</v>
      </c>
    </row>
    <row r="984" spans="1:13" x14ac:dyDescent="0.3">
      <c r="A984">
        <v>983</v>
      </c>
      <c r="B984" t="s">
        <v>997</v>
      </c>
      <c r="C984">
        <v>31</v>
      </c>
      <c r="D984" t="s">
        <v>14</v>
      </c>
      <c r="E984" t="s">
        <v>18</v>
      </c>
      <c r="F984" s="1">
        <v>44636</v>
      </c>
      <c r="G984" s="1">
        <v>44802</v>
      </c>
      <c r="H984">
        <v>1</v>
      </c>
      <c r="I984">
        <v>1.9</v>
      </c>
      <c r="J984">
        <v>1</v>
      </c>
      <c r="K984" t="str">
        <f>IF(customer[[#This Row],[IsChurned]]=1,"Churned","Active")</f>
        <v>Churned</v>
      </c>
      <c r="L984" t="str">
        <f>TEXT(customer[[#This Row],[SubscriptionDate]],"mmm-yyyy")</f>
        <v>Mar-2022</v>
      </c>
      <c r="M984" s="1">
        <f ca="1">TODAY()-customer[[#This Row],[LastLoginDate]]</f>
        <v>1241</v>
      </c>
    </row>
    <row r="985" spans="1:13" x14ac:dyDescent="0.3">
      <c r="A985">
        <v>984</v>
      </c>
      <c r="B985" t="s">
        <v>998</v>
      </c>
      <c r="C985">
        <v>32</v>
      </c>
      <c r="D985" t="s">
        <v>14</v>
      </c>
      <c r="E985" t="s">
        <v>18</v>
      </c>
      <c r="F985" s="1">
        <v>45134</v>
      </c>
      <c r="G985" s="1">
        <v>45383</v>
      </c>
      <c r="H985">
        <v>309</v>
      </c>
      <c r="I985">
        <v>3.5</v>
      </c>
      <c r="J985">
        <v>1</v>
      </c>
      <c r="K985" t="str">
        <f>IF(customer[[#This Row],[IsChurned]]=1,"Churned","Active")</f>
        <v>Churned</v>
      </c>
      <c r="L985" t="str">
        <f>TEXT(customer[[#This Row],[SubscriptionDate]],"mmm-yyyy")</f>
        <v>Jul-2023</v>
      </c>
      <c r="M985" s="1">
        <f ca="1">TODAY()-customer[[#This Row],[LastLoginDate]]</f>
        <v>660</v>
      </c>
    </row>
    <row r="986" spans="1:13" x14ac:dyDescent="0.3">
      <c r="A986">
        <v>985</v>
      </c>
      <c r="B986" t="s">
        <v>999</v>
      </c>
      <c r="C986">
        <v>59</v>
      </c>
      <c r="D986" t="s">
        <v>14</v>
      </c>
      <c r="E986" t="s">
        <v>15</v>
      </c>
      <c r="F986" s="1">
        <v>45329</v>
      </c>
      <c r="G986" s="1">
        <v>45512</v>
      </c>
      <c r="H986">
        <v>161</v>
      </c>
      <c r="I986">
        <v>4.5</v>
      </c>
      <c r="J986">
        <v>1</v>
      </c>
      <c r="K986" t="str">
        <f>IF(customer[[#This Row],[IsChurned]]=1,"Churned","Active")</f>
        <v>Churned</v>
      </c>
      <c r="L986" t="str">
        <f>TEXT(customer[[#This Row],[SubscriptionDate]],"mmm-yyyy")</f>
        <v>Feb-2024</v>
      </c>
      <c r="M986" s="1">
        <f ca="1">TODAY()-customer[[#This Row],[LastLoginDate]]</f>
        <v>531</v>
      </c>
    </row>
    <row r="987" spans="1:13" x14ac:dyDescent="0.3">
      <c r="A987">
        <v>986</v>
      </c>
      <c r="B987" t="s">
        <v>1000</v>
      </c>
      <c r="C987">
        <v>25</v>
      </c>
      <c r="D987" t="s">
        <v>11</v>
      </c>
      <c r="E987" t="s">
        <v>12</v>
      </c>
      <c r="F987" s="1">
        <v>45023</v>
      </c>
      <c r="G987" s="1">
        <v>45291</v>
      </c>
      <c r="H987">
        <v>162</v>
      </c>
      <c r="I987">
        <v>2.2000000000000002</v>
      </c>
      <c r="J987">
        <v>1</v>
      </c>
      <c r="K987" t="str">
        <f>IF(customer[[#This Row],[IsChurned]]=1,"Churned","Active")</f>
        <v>Churned</v>
      </c>
      <c r="L987" t="str">
        <f>TEXT(customer[[#This Row],[SubscriptionDate]],"mmm-yyyy")</f>
        <v>Apr-2023</v>
      </c>
      <c r="M987" s="1">
        <f ca="1">TODAY()-customer[[#This Row],[LastLoginDate]]</f>
        <v>752</v>
      </c>
    </row>
    <row r="988" spans="1:13" x14ac:dyDescent="0.3">
      <c r="A988">
        <v>987</v>
      </c>
      <c r="B988" t="s">
        <v>1001</v>
      </c>
      <c r="C988">
        <v>18</v>
      </c>
      <c r="D988" t="s">
        <v>14</v>
      </c>
      <c r="E988" t="s">
        <v>12</v>
      </c>
      <c r="F988" s="1">
        <v>45430</v>
      </c>
      <c r="G988" s="1">
        <v>45652</v>
      </c>
      <c r="H988">
        <v>35</v>
      </c>
      <c r="I988">
        <v>2</v>
      </c>
      <c r="J988">
        <v>0</v>
      </c>
      <c r="K988" t="str">
        <f>IF(customer[[#This Row],[IsChurned]]=1,"Churned","Active")</f>
        <v>Active</v>
      </c>
      <c r="L988" t="str">
        <f>TEXT(customer[[#This Row],[SubscriptionDate]],"mmm-yyyy")</f>
        <v>May-2024</v>
      </c>
      <c r="M988" s="1">
        <f ca="1">TODAY()-customer[[#This Row],[LastLoginDate]]</f>
        <v>391</v>
      </c>
    </row>
    <row r="989" spans="1:13" x14ac:dyDescent="0.3">
      <c r="A989">
        <v>988</v>
      </c>
      <c r="B989" t="s">
        <v>1002</v>
      </c>
      <c r="C989">
        <v>61</v>
      </c>
      <c r="D989" t="s">
        <v>14</v>
      </c>
      <c r="E989" t="s">
        <v>15</v>
      </c>
      <c r="F989" s="1">
        <v>44977</v>
      </c>
      <c r="G989" s="1">
        <v>45156</v>
      </c>
      <c r="H989">
        <v>86</v>
      </c>
      <c r="I989">
        <v>2.1</v>
      </c>
      <c r="J989">
        <v>1</v>
      </c>
      <c r="K989" t="str">
        <f>IF(customer[[#This Row],[IsChurned]]=1,"Churned","Active")</f>
        <v>Churned</v>
      </c>
      <c r="L989" t="str">
        <f>TEXT(customer[[#This Row],[SubscriptionDate]],"mmm-yyyy")</f>
        <v>Feb-2023</v>
      </c>
      <c r="M989" s="1">
        <f ca="1">TODAY()-customer[[#This Row],[LastLoginDate]]</f>
        <v>887</v>
      </c>
    </row>
    <row r="990" spans="1:13" x14ac:dyDescent="0.3">
      <c r="A990">
        <v>989</v>
      </c>
      <c r="B990" t="s">
        <v>1003</v>
      </c>
      <c r="C990">
        <v>34</v>
      </c>
      <c r="D990" t="s">
        <v>11</v>
      </c>
      <c r="E990" t="s">
        <v>15</v>
      </c>
      <c r="F990" s="1">
        <v>44786</v>
      </c>
      <c r="G990" s="1">
        <v>44890</v>
      </c>
      <c r="H990">
        <v>487</v>
      </c>
      <c r="I990">
        <v>3.2</v>
      </c>
      <c r="J990">
        <v>0</v>
      </c>
      <c r="K990" t="str">
        <f>IF(customer[[#This Row],[IsChurned]]=1,"Churned","Active")</f>
        <v>Active</v>
      </c>
      <c r="L990" t="str">
        <f>TEXT(customer[[#This Row],[SubscriptionDate]],"mmm-yyyy")</f>
        <v>Aug-2022</v>
      </c>
      <c r="M990" s="1">
        <f ca="1">TODAY()-customer[[#This Row],[LastLoginDate]]</f>
        <v>1153</v>
      </c>
    </row>
    <row r="991" spans="1:13" x14ac:dyDescent="0.3">
      <c r="A991">
        <v>990</v>
      </c>
      <c r="B991" t="s">
        <v>1004</v>
      </c>
      <c r="C991">
        <v>41</v>
      </c>
      <c r="D991" t="s">
        <v>14</v>
      </c>
      <c r="E991" t="s">
        <v>18</v>
      </c>
      <c r="F991" s="1">
        <v>44783</v>
      </c>
      <c r="G991" s="1">
        <v>44928</v>
      </c>
      <c r="H991">
        <v>202</v>
      </c>
      <c r="I991">
        <v>1.5</v>
      </c>
      <c r="J991">
        <v>1</v>
      </c>
      <c r="K991" t="str">
        <f>IF(customer[[#This Row],[IsChurned]]=1,"Churned","Active")</f>
        <v>Churned</v>
      </c>
      <c r="L991" t="str">
        <f>TEXT(customer[[#This Row],[SubscriptionDate]],"mmm-yyyy")</f>
        <v>Aug-2022</v>
      </c>
      <c r="M991" s="1">
        <f ca="1">TODAY()-customer[[#This Row],[LastLoginDate]]</f>
        <v>1115</v>
      </c>
    </row>
    <row r="992" spans="1:13" x14ac:dyDescent="0.3">
      <c r="A992">
        <v>991</v>
      </c>
      <c r="B992" t="s">
        <v>1005</v>
      </c>
      <c r="C992">
        <v>27</v>
      </c>
      <c r="D992" t="s">
        <v>14</v>
      </c>
      <c r="E992" t="s">
        <v>15</v>
      </c>
      <c r="F992" s="1">
        <v>44966</v>
      </c>
      <c r="G992" s="1">
        <v>45077</v>
      </c>
      <c r="H992">
        <v>250</v>
      </c>
      <c r="I992">
        <v>4.8</v>
      </c>
      <c r="J992">
        <v>1</v>
      </c>
      <c r="K992" t="str">
        <f>IF(customer[[#This Row],[IsChurned]]=1,"Churned","Active")</f>
        <v>Churned</v>
      </c>
      <c r="L992" t="str">
        <f>TEXT(customer[[#This Row],[SubscriptionDate]],"mmm-yyyy")</f>
        <v>Feb-2023</v>
      </c>
      <c r="M992" s="1">
        <f ca="1">TODAY()-customer[[#This Row],[LastLoginDate]]</f>
        <v>966</v>
      </c>
    </row>
    <row r="993" spans="1:13" x14ac:dyDescent="0.3">
      <c r="A993">
        <v>992</v>
      </c>
      <c r="B993" t="s">
        <v>1006</v>
      </c>
      <c r="C993">
        <v>37</v>
      </c>
      <c r="D993" t="s">
        <v>14</v>
      </c>
      <c r="E993" t="s">
        <v>15</v>
      </c>
      <c r="F993" s="1">
        <v>44997</v>
      </c>
      <c r="G993" s="1">
        <v>45050</v>
      </c>
      <c r="H993">
        <v>40</v>
      </c>
      <c r="I993">
        <v>3.5</v>
      </c>
      <c r="J993">
        <v>1</v>
      </c>
      <c r="K993" t="str">
        <f>IF(customer[[#This Row],[IsChurned]]=1,"Churned","Active")</f>
        <v>Churned</v>
      </c>
      <c r="L993" t="str">
        <f>TEXT(customer[[#This Row],[SubscriptionDate]],"mmm-yyyy")</f>
        <v>Mar-2023</v>
      </c>
      <c r="M993" s="1">
        <f ca="1">TODAY()-customer[[#This Row],[LastLoginDate]]</f>
        <v>993</v>
      </c>
    </row>
    <row r="994" spans="1:13" x14ac:dyDescent="0.3">
      <c r="A994">
        <v>993</v>
      </c>
      <c r="B994" t="s">
        <v>1007</v>
      </c>
      <c r="C994">
        <v>45</v>
      </c>
      <c r="D994" t="s">
        <v>11</v>
      </c>
      <c r="E994" t="s">
        <v>18</v>
      </c>
      <c r="F994" s="1">
        <v>44825</v>
      </c>
      <c r="G994" s="1">
        <v>45111</v>
      </c>
      <c r="H994">
        <v>428</v>
      </c>
      <c r="I994">
        <v>2.7</v>
      </c>
      <c r="J994">
        <v>0</v>
      </c>
      <c r="K994" t="str">
        <f>IF(customer[[#This Row],[IsChurned]]=1,"Churned","Active")</f>
        <v>Active</v>
      </c>
      <c r="L994" t="str">
        <f>TEXT(customer[[#This Row],[SubscriptionDate]],"mmm-yyyy")</f>
        <v>Sep-2022</v>
      </c>
      <c r="M994" s="1">
        <f ca="1">TODAY()-customer[[#This Row],[LastLoginDate]]</f>
        <v>932</v>
      </c>
    </row>
    <row r="995" spans="1:13" x14ac:dyDescent="0.3">
      <c r="A995">
        <v>994</v>
      </c>
      <c r="B995" t="s">
        <v>1008</v>
      </c>
      <c r="C995">
        <v>56</v>
      </c>
      <c r="D995" t="s">
        <v>14</v>
      </c>
      <c r="E995" t="s">
        <v>12</v>
      </c>
      <c r="F995" s="1">
        <v>45094</v>
      </c>
      <c r="G995" s="1">
        <v>45408</v>
      </c>
      <c r="H995">
        <v>480</v>
      </c>
      <c r="I995">
        <v>1</v>
      </c>
      <c r="J995">
        <v>1</v>
      </c>
      <c r="K995" t="str">
        <f>IF(customer[[#This Row],[IsChurned]]=1,"Churned","Active")</f>
        <v>Churned</v>
      </c>
      <c r="L995" t="str">
        <f>TEXT(customer[[#This Row],[SubscriptionDate]],"mmm-yyyy")</f>
        <v>Jun-2023</v>
      </c>
      <c r="M995" s="1">
        <f ca="1">TODAY()-customer[[#This Row],[LastLoginDate]]</f>
        <v>635</v>
      </c>
    </row>
    <row r="996" spans="1:13" x14ac:dyDescent="0.3">
      <c r="A996">
        <v>995</v>
      </c>
      <c r="B996" t="s">
        <v>1009</v>
      </c>
      <c r="C996">
        <v>62</v>
      </c>
      <c r="D996" t="s">
        <v>14</v>
      </c>
      <c r="E996" t="s">
        <v>15</v>
      </c>
      <c r="F996" s="1">
        <v>45136</v>
      </c>
      <c r="G996" s="1">
        <v>45492</v>
      </c>
      <c r="H996">
        <v>27</v>
      </c>
      <c r="I996">
        <v>2.8</v>
      </c>
      <c r="J996">
        <v>1</v>
      </c>
      <c r="K996" t="str">
        <f>IF(customer[[#This Row],[IsChurned]]=1,"Churned","Active")</f>
        <v>Churned</v>
      </c>
      <c r="L996" t="str">
        <f>TEXT(customer[[#This Row],[SubscriptionDate]],"mmm-yyyy")</f>
        <v>Jul-2023</v>
      </c>
      <c r="M996" s="1">
        <f ca="1">TODAY()-customer[[#This Row],[LastLoginDate]]</f>
        <v>551</v>
      </c>
    </row>
    <row r="997" spans="1:13" x14ac:dyDescent="0.3">
      <c r="A997">
        <v>996</v>
      </c>
      <c r="B997" t="s">
        <v>1010</v>
      </c>
      <c r="C997">
        <v>32</v>
      </c>
      <c r="D997" t="s">
        <v>14</v>
      </c>
      <c r="E997" t="s">
        <v>12</v>
      </c>
      <c r="F997" s="1">
        <v>44688</v>
      </c>
      <c r="G997" s="1">
        <v>44820</v>
      </c>
      <c r="H997">
        <v>319</v>
      </c>
      <c r="I997">
        <v>4.5</v>
      </c>
      <c r="J997">
        <v>1</v>
      </c>
      <c r="K997" t="str">
        <f>IF(customer[[#This Row],[IsChurned]]=1,"Churned","Active")</f>
        <v>Churned</v>
      </c>
      <c r="L997" t="str">
        <f>TEXT(customer[[#This Row],[SubscriptionDate]],"mmm-yyyy")</f>
        <v>May-2022</v>
      </c>
      <c r="M997" s="1">
        <f ca="1">TODAY()-customer[[#This Row],[LastLoginDate]]</f>
        <v>1223</v>
      </c>
    </row>
    <row r="998" spans="1:13" x14ac:dyDescent="0.3">
      <c r="A998">
        <v>997</v>
      </c>
      <c r="B998" t="s">
        <v>1011</v>
      </c>
      <c r="C998">
        <v>65</v>
      </c>
      <c r="D998" t="s">
        <v>11</v>
      </c>
      <c r="E998" t="s">
        <v>15</v>
      </c>
      <c r="F998" s="1">
        <v>45325</v>
      </c>
      <c r="G998" s="1">
        <v>45668</v>
      </c>
      <c r="H998">
        <v>104</v>
      </c>
      <c r="I998">
        <v>3.3</v>
      </c>
      <c r="J998">
        <v>1</v>
      </c>
      <c r="K998" t="str">
        <f>IF(customer[[#This Row],[IsChurned]]=1,"Churned","Active")</f>
        <v>Churned</v>
      </c>
      <c r="L998" t="str">
        <f>TEXT(customer[[#This Row],[SubscriptionDate]],"mmm-yyyy")</f>
        <v>Feb-2024</v>
      </c>
      <c r="M998" s="1">
        <f ca="1">TODAY()-customer[[#This Row],[LastLoginDate]]</f>
        <v>375</v>
      </c>
    </row>
    <row r="999" spans="1:13" x14ac:dyDescent="0.3">
      <c r="A999">
        <v>998</v>
      </c>
      <c r="B999" t="s">
        <v>1012</v>
      </c>
      <c r="C999">
        <v>48</v>
      </c>
      <c r="D999" t="s">
        <v>14</v>
      </c>
      <c r="E999" t="s">
        <v>18</v>
      </c>
      <c r="F999" s="1">
        <v>44563</v>
      </c>
      <c r="G999" s="1">
        <v>44661</v>
      </c>
      <c r="H999">
        <v>72</v>
      </c>
      <c r="I999">
        <v>2.2000000000000002</v>
      </c>
      <c r="J999">
        <v>1</v>
      </c>
      <c r="K999" t="str">
        <f>IF(customer[[#This Row],[IsChurned]]=1,"Churned","Active")</f>
        <v>Churned</v>
      </c>
      <c r="L999" t="str">
        <f>TEXT(customer[[#This Row],[SubscriptionDate]],"mmm-yyyy")</f>
        <v>Jan-2022</v>
      </c>
      <c r="M999" s="1">
        <f ca="1">TODAY()-customer[[#This Row],[LastLoginDate]]</f>
        <v>1382</v>
      </c>
    </row>
    <row r="1000" spans="1:13" x14ac:dyDescent="0.3">
      <c r="A1000">
        <v>999</v>
      </c>
      <c r="B1000" t="s">
        <v>1013</v>
      </c>
      <c r="C1000">
        <v>55</v>
      </c>
      <c r="D1000" t="s">
        <v>14</v>
      </c>
      <c r="E1000" t="s">
        <v>18</v>
      </c>
      <c r="F1000" s="1">
        <v>44996</v>
      </c>
      <c r="G1000" s="1">
        <v>45054</v>
      </c>
      <c r="H1000">
        <v>428</v>
      </c>
      <c r="I1000">
        <v>1.5</v>
      </c>
      <c r="J1000">
        <v>1</v>
      </c>
      <c r="K1000" t="str">
        <f>IF(customer[[#This Row],[IsChurned]]=1,"Churned","Active")</f>
        <v>Churned</v>
      </c>
      <c r="L1000" t="str">
        <f>TEXT(customer[[#This Row],[SubscriptionDate]],"mmm-yyyy")</f>
        <v>Mar-2023</v>
      </c>
      <c r="M1000" s="1">
        <f ca="1">TODAY()-customer[[#This Row],[LastLoginDate]]</f>
        <v>989</v>
      </c>
    </row>
    <row r="1001" spans="1:13" x14ac:dyDescent="0.3">
      <c r="A1001">
        <v>1000</v>
      </c>
      <c r="B1001" t="s">
        <v>1014</v>
      </c>
      <c r="C1001">
        <v>28</v>
      </c>
      <c r="D1001" t="s">
        <v>14</v>
      </c>
      <c r="E1001" t="s">
        <v>12</v>
      </c>
      <c r="F1001" s="1">
        <v>44871</v>
      </c>
      <c r="G1001" s="1">
        <v>45208</v>
      </c>
      <c r="H1001">
        <v>147</v>
      </c>
      <c r="I1001">
        <v>1.8</v>
      </c>
      <c r="J1001">
        <v>1</v>
      </c>
      <c r="K1001" t="str">
        <f>IF(customer[[#This Row],[IsChurned]]=1,"Churned","Active")</f>
        <v>Churned</v>
      </c>
      <c r="L1001" t="str">
        <f>TEXT(customer[[#This Row],[SubscriptionDate]],"mmm-yyyy")</f>
        <v>Nov-2022</v>
      </c>
      <c r="M1001" s="1">
        <f ca="1">TODAY()-customer[[#This Row],[LastLoginDate]]</f>
        <v>835</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F307B-8B51-4B16-85AF-18B0D928560B}">
  <dimension ref="A1:E32"/>
  <sheetViews>
    <sheetView workbookViewId="0">
      <selection activeCell="A15" sqref="A15"/>
    </sheetView>
  </sheetViews>
  <sheetFormatPr defaultRowHeight="14.4" x14ac:dyDescent="0.3"/>
  <cols>
    <col min="1" max="1" width="12.44140625" bestFit="1" customWidth="1"/>
    <col min="2" max="2" width="18.44140625" bestFit="1" customWidth="1"/>
    <col min="4" max="4" width="12.44140625" bestFit="1" customWidth="1"/>
    <col min="5" max="5" width="15.5546875" bestFit="1" customWidth="1"/>
  </cols>
  <sheetData>
    <row r="1" spans="1:5" x14ac:dyDescent="0.3">
      <c r="A1" s="2" t="s">
        <v>1018</v>
      </c>
      <c r="B1" t="s">
        <v>1022</v>
      </c>
      <c r="D1" s="2" t="s">
        <v>1018</v>
      </c>
      <c r="E1" t="s">
        <v>1023</v>
      </c>
    </row>
    <row r="2" spans="1:5" x14ac:dyDescent="0.3">
      <c r="A2" s="3" t="s">
        <v>1019</v>
      </c>
      <c r="B2" s="4">
        <v>510</v>
      </c>
      <c r="D2" s="3" t="s">
        <v>1025</v>
      </c>
      <c r="E2" s="4">
        <v>16</v>
      </c>
    </row>
    <row r="3" spans="1:5" x14ac:dyDescent="0.3">
      <c r="A3" s="3" t="s">
        <v>1020</v>
      </c>
      <c r="B3" s="4">
        <v>490</v>
      </c>
      <c r="D3" s="3" t="s">
        <v>1026</v>
      </c>
      <c r="E3" s="4">
        <v>21</v>
      </c>
    </row>
    <row r="4" spans="1:5" x14ac:dyDescent="0.3">
      <c r="A4" s="3" t="s">
        <v>1021</v>
      </c>
      <c r="B4" s="4">
        <v>1000</v>
      </c>
      <c r="D4" s="3" t="s">
        <v>1027</v>
      </c>
      <c r="E4" s="4">
        <v>10</v>
      </c>
    </row>
    <row r="5" spans="1:5" x14ac:dyDescent="0.3">
      <c r="D5" s="3" t="s">
        <v>1028</v>
      </c>
      <c r="E5" s="4">
        <v>17</v>
      </c>
    </row>
    <row r="6" spans="1:5" x14ac:dyDescent="0.3">
      <c r="D6" s="3" t="s">
        <v>1029</v>
      </c>
      <c r="E6" s="4">
        <v>17</v>
      </c>
    </row>
    <row r="7" spans="1:5" x14ac:dyDescent="0.3">
      <c r="A7" s="2" t="s">
        <v>1018</v>
      </c>
      <c r="B7" t="s">
        <v>1024</v>
      </c>
      <c r="D7" s="3" t="s">
        <v>1030</v>
      </c>
      <c r="E7" s="4">
        <v>9</v>
      </c>
    </row>
    <row r="8" spans="1:5" x14ac:dyDescent="0.3">
      <c r="A8" s="3" t="s">
        <v>15</v>
      </c>
      <c r="B8" s="4">
        <v>0.43076923076923079</v>
      </c>
      <c r="D8" s="3" t="s">
        <v>1031</v>
      </c>
      <c r="E8" s="4">
        <v>21</v>
      </c>
    </row>
    <row r="9" spans="1:5" x14ac:dyDescent="0.3">
      <c r="A9" s="3" t="s">
        <v>18</v>
      </c>
      <c r="B9" s="4">
        <v>0.53197674418604646</v>
      </c>
      <c r="D9" s="3" t="s">
        <v>1032</v>
      </c>
      <c r="E9" s="4">
        <v>11</v>
      </c>
    </row>
    <row r="10" spans="1:5" x14ac:dyDescent="0.3">
      <c r="A10" s="3" t="s">
        <v>12</v>
      </c>
      <c r="B10" s="4">
        <v>0.50453172205438068</v>
      </c>
      <c r="D10" s="3" t="s">
        <v>1033</v>
      </c>
      <c r="E10" s="4">
        <v>13</v>
      </c>
    </row>
    <row r="11" spans="1:5" x14ac:dyDescent="0.3">
      <c r="A11" s="3" t="s">
        <v>1021</v>
      </c>
      <c r="B11" s="4">
        <v>0.49</v>
      </c>
      <c r="D11" s="3" t="s">
        <v>1034</v>
      </c>
      <c r="E11" s="4">
        <v>16</v>
      </c>
    </row>
    <row r="12" spans="1:5" x14ac:dyDescent="0.3">
      <c r="D12" s="3" t="s">
        <v>1035</v>
      </c>
      <c r="E12" s="4">
        <v>20</v>
      </c>
    </row>
    <row r="13" spans="1:5" x14ac:dyDescent="0.3">
      <c r="D13" s="3" t="s">
        <v>1036</v>
      </c>
      <c r="E13" s="4">
        <v>17</v>
      </c>
    </row>
    <row r="14" spans="1:5" x14ac:dyDescent="0.3">
      <c r="A14" s="3" t="s">
        <v>1055</v>
      </c>
      <c r="D14" s="3" t="s">
        <v>1037</v>
      </c>
      <c r="E14" s="4">
        <v>23</v>
      </c>
    </row>
    <row r="15" spans="1:5" x14ac:dyDescent="0.3">
      <c r="A15">
        <f>COUNTA(dataset!B2:B1000)</f>
        <v>999</v>
      </c>
      <c r="D15" s="3" t="s">
        <v>1038</v>
      </c>
      <c r="E15" s="4">
        <v>17</v>
      </c>
    </row>
    <row r="16" spans="1:5" x14ac:dyDescent="0.3">
      <c r="A16" s="5">
        <f>COUNTIF(dataset!K2:K1000,"Churned") / COUNTA(dataset!B2:B1000)</f>
        <v>0.4894894894894895</v>
      </c>
      <c r="D16" s="3" t="s">
        <v>1039</v>
      </c>
      <c r="E16" s="4">
        <v>15</v>
      </c>
    </row>
    <row r="17" spans="1:5" x14ac:dyDescent="0.3">
      <c r="A17" s="5">
        <f>AVERAGE(dataset!I1:I1000)</f>
        <v>2.9908908908908867</v>
      </c>
      <c r="D17" s="3" t="s">
        <v>1040</v>
      </c>
      <c r="E17" s="4">
        <v>13</v>
      </c>
    </row>
    <row r="18" spans="1:5" x14ac:dyDescent="0.3">
      <c r="A18" s="1">
        <f ca="1">AVERAGE(dataset!M2:M1000)</f>
        <v>831.87187187187192</v>
      </c>
      <c r="D18" s="3" t="s">
        <v>1041</v>
      </c>
      <c r="E18" s="4">
        <v>17</v>
      </c>
    </row>
    <row r="19" spans="1:5" x14ac:dyDescent="0.3">
      <c r="D19" s="3" t="s">
        <v>1042</v>
      </c>
      <c r="E19" s="4">
        <v>14</v>
      </c>
    </row>
    <row r="20" spans="1:5" x14ac:dyDescent="0.3">
      <c r="D20" s="3" t="s">
        <v>1043</v>
      </c>
      <c r="E20" s="4">
        <v>24</v>
      </c>
    </row>
    <row r="21" spans="1:5" x14ac:dyDescent="0.3">
      <c r="D21" s="3" t="s">
        <v>1044</v>
      </c>
      <c r="E21" s="4">
        <v>21</v>
      </c>
    </row>
    <row r="22" spans="1:5" x14ac:dyDescent="0.3">
      <c r="D22" s="3" t="s">
        <v>1045</v>
      </c>
      <c r="E22" s="4">
        <v>20</v>
      </c>
    </row>
    <row r="23" spans="1:5" x14ac:dyDescent="0.3">
      <c r="D23" s="3" t="s">
        <v>1046</v>
      </c>
      <c r="E23" s="4">
        <v>12</v>
      </c>
    </row>
    <row r="24" spans="1:5" x14ac:dyDescent="0.3">
      <c r="D24" s="3" t="s">
        <v>1047</v>
      </c>
      <c r="E24" s="4">
        <v>18</v>
      </c>
    </row>
    <row r="25" spans="1:5" x14ac:dyDescent="0.3">
      <c r="D25" s="3" t="s">
        <v>1048</v>
      </c>
      <c r="E25" s="4">
        <v>20</v>
      </c>
    </row>
    <row r="26" spans="1:5" x14ac:dyDescent="0.3">
      <c r="D26" s="3" t="s">
        <v>1049</v>
      </c>
      <c r="E26" s="4">
        <v>15</v>
      </c>
    </row>
    <row r="27" spans="1:5" x14ac:dyDescent="0.3">
      <c r="D27" s="3" t="s">
        <v>1050</v>
      </c>
      <c r="E27" s="4">
        <v>18</v>
      </c>
    </row>
    <row r="28" spans="1:5" x14ac:dyDescent="0.3">
      <c r="D28" s="3" t="s">
        <v>1051</v>
      </c>
      <c r="E28" s="4">
        <v>16</v>
      </c>
    </row>
    <row r="29" spans="1:5" x14ac:dyDescent="0.3">
      <c r="D29" s="3" t="s">
        <v>1052</v>
      </c>
      <c r="E29" s="4">
        <v>15</v>
      </c>
    </row>
    <row r="30" spans="1:5" x14ac:dyDescent="0.3">
      <c r="D30" s="3" t="s">
        <v>1053</v>
      </c>
      <c r="E30" s="4">
        <v>10</v>
      </c>
    </row>
    <row r="31" spans="1:5" x14ac:dyDescent="0.3">
      <c r="D31" s="3" t="s">
        <v>1054</v>
      </c>
      <c r="E31" s="4">
        <v>14</v>
      </c>
    </row>
    <row r="32" spans="1:5" x14ac:dyDescent="0.3">
      <c r="D32" s="3" t="s">
        <v>1021</v>
      </c>
      <c r="E32" s="4">
        <v>490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794A2-A87D-4322-92A0-A467F2442D64}">
  <dimension ref="A1"/>
  <sheetViews>
    <sheetView showGridLines="0" tabSelected="1" zoomScale="74" workbookViewId="0">
      <selection activeCell="R49" sqref="R4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shailesh.jk0072@gmail.com</dc:creator>
  <cp:lastModifiedBy>shailesh.jk0072@gmail.com</cp:lastModifiedBy>
  <dcterms:created xsi:type="dcterms:W3CDTF">2026-01-21T16:09:55Z</dcterms:created>
  <dcterms:modified xsi:type="dcterms:W3CDTF">2026-01-21T17:06:44Z</dcterms:modified>
</cp:coreProperties>
</file>